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518" documentId="11_A8DEA55DA9ACCEB6161F69D90F8A6D5701A14124" xr6:coauthVersionLast="47" xr6:coauthVersionMax="47" xr10:uidLastSave="{EF8DA7EA-994A-42D6-9645-833B6A1F1DBC}"/>
  <bookViews>
    <workbookView xWindow="28680" yWindow="-120" windowWidth="20730" windowHeight="11040" activeTab="2" xr2:uid="{00000000-000D-0000-FFFF-FFFF00000000}"/>
  </bookViews>
  <sheets>
    <sheet name="PREVISTO 2026 REVISADO" sheetId="4" r:id="rId1"/>
    <sheet name="REALIZADO 2025" sheetId="1" r:id="rId2"/>
    <sheet name="PREVISTO 2026 REVISADO (2)" sheetId="5" r:id="rId3"/>
    <sheet name="PREVISTO 2026" sheetId="3" state="hidden" r:id="rId4"/>
  </sheets>
  <definedNames>
    <definedName name="Balancetecontbilporperodo" localSheetId="3">'PREVISTO 2026'!#REF!</definedName>
    <definedName name="Balancetecontbilporperodo" localSheetId="0">'PREVISTO 2026 REVISADO'!#REF!</definedName>
    <definedName name="Balancetecontbilporperodo" localSheetId="2">'PREVISTO 2026 REVISADO (2)'!#REF!</definedName>
    <definedName name="Balancetecontbilporperodo">'REALIZADO 2025'!#REF!</definedName>
    <definedName name="JR_PAGE_ANCHOR_0_1" localSheetId="3">'PREVISTO 2026'!#REF!</definedName>
    <definedName name="JR_PAGE_ANCHOR_0_1" localSheetId="0">'PREVISTO 2026 REVISADO'!#REF!</definedName>
    <definedName name="JR_PAGE_ANCHOR_0_1" localSheetId="2">'PREVISTO 2026 REVISADO (2)'!#REF!</definedName>
    <definedName name="JR_PAGE_ANCHOR_0_1">'REALIZADO 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8" i="5" l="1"/>
  <c r="G98" i="5"/>
  <c r="H98" i="5"/>
  <c r="I98" i="5"/>
  <c r="J98" i="5"/>
  <c r="K98" i="5"/>
  <c r="L98" i="5"/>
  <c r="M98" i="5"/>
  <c r="N98" i="5"/>
  <c r="O98" i="5"/>
  <c r="P98" i="5"/>
  <c r="Q98" i="5"/>
  <c r="F99" i="5"/>
  <c r="G99" i="5"/>
  <c r="H99" i="5"/>
  <c r="I99" i="5"/>
  <c r="J99" i="5"/>
  <c r="K99" i="5"/>
  <c r="L99" i="5"/>
  <c r="M99" i="5"/>
  <c r="N99" i="5"/>
  <c r="O99" i="5"/>
  <c r="P99" i="5"/>
  <c r="Q99" i="5"/>
  <c r="F88" i="5"/>
  <c r="G88" i="5"/>
  <c r="H88" i="5"/>
  <c r="I88" i="5"/>
  <c r="J88" i="5"/>
  <c r="K88" i="5"/>
  <c r="L88" i="5"/>
  <c r="M88" i="5"/>
  <c r="N88" i="5"/>
  <c r="O88" i="5"/>
  <c r="P88" i="5"/>
  <c r="Q88" i="5"/>
  <c r="F89" i="5"/>
  <c r="G89" i="5"/>
  <c r="H89" i="5"/>
  <c r="I89" i="5"/>
  <c r="J89" i="5"/>
  <c r="K89" i="5"/>
  <c r="L89" i="5"/>
  <c r="M89" i="5"/>
  <c r="N89" i="5"/>
  <c r="O89" i="5"/>
  <c r="P89" i="5"/>
  <c r="Q89" i="5"/>
  <c r="F90" i="5"/>
  <c r="G90" i="5"/>
  <c r="H90" i="5"/>
  <c r="I90" i="5"/>
  <c r="J90" i="5"/>
  <c r="K90" i="5"/>
  <c r="L90" i="5"/>
  <c r="M90" i="5"/>
  <c r="N90" i="5"/>
  <c r="O90" i="5"/>
  <c r="P90" i="5"/>
  <c r="Q90" i="5"/>
  <c r="F92" i="5"/>
  <c r="G92" i="5"/>
  <c r="H92" i="5"/>
  <c r="I92" i="5"/>
  <c r="J92" i="5"/>
  <c r="K92" i="5"/>
  <c r="L92" i="5"/>
  <c r="M92" i="5"/>
  <c r="N92" i="5"/>
  <c r="O92" i="5"/>
  <c r="P92" i="5"/>
  <c r="Q92" i="5"/>
  <c r="F93" i="5"/>
  <c r="G93" i="5"/>
  <c r="H93" i="5"/>
  <c r="I93" i="5"/>
  <c r="J93" i="5"/>
  <c r="K93" i="5"/>
  <c r="L93" i="5"/>
  <c r="M93" i="5"/>
  <c r="N93" i="5"/>
  <c r="O93" i="5"/>
  <c r="P93" i="5"/>
  <c r="Q93" i="5"/>
  <c r="F94" i="5"/>
  <c r="G94" i="5"/>
  <c r="H94" i="5"/>
  <c r="I94" i="5"/>
  <c r="J94" i="5"/>
  <c r="K94" i="5"/>
  <c r="L94" i="5"/>
  <c r="M94" i="5"/>
  <c r="N94" i="5"/>
  <c r="O94" i="5"/>
  <c r="P94" i="5"/>
  <c r="Q94" i="5"/>
  <c r="F95" i="5"/>
  <c r="G95" i="5"/>
  <c r="H95" i="5"/>
  <c r="I95" i="5"/>
  <c r="J95" i="5"/>
  <c r="K95" i="5"/>
  <c r="L95" i="5"/>
  <c r="M95" i="5"/>
  <c r="N95" i="5"/>
  <c r="O95" i="5"/>
  <c r="P95" i="5"/>
  <c r="Q95" i="5"/>
  <c r="F96" i="5"/>
  <c r="G96" i="5"/>
  <c r="H96" i="5"/>
  <c r="I96" i="5"/>
  <c r="J96" i="5"/>
  <c r="K96" i="5"/>
  <c r="L96" i="5"/>
  <c r="M96" i="5"/>
  <c r="N96" i="5"/>
  <c r="O96" i="5"/>
  <c r="P96" i="5"/>
  <c r="Q96" i="5"/>
  <c r="F79" i="5"/>
  <c r="G79" i="5"/>
  <c r="H79" i="5"/>
  <c r="I79" i="5"/>
  <c r="J79" i="5"/>
  <c r="K79" i="5"/>
  <c r="L79" i="5"/>
  <c r="M79" i="5"/>
  <c r="N79" i="5"/>
  <c r="O79" i="5"/>
  <c r="P79" i="5"/>
  <c r="Q79" i="5"/>
  <c r="F80" i="5"/>
  <c r="G80" i="5"/>
  <c r="H80" i="5"/>
  <c r="I80" i="5"/>
  <c r="J80" i="5"/>
  <c r="K80" i="5"/>
  <c r="L80" i="5"/>
  <c r="M80" i="5"/>
  <c r="N80" i="5"/>
  <c r="O80" i="5"/>
  <c r="P80" i="5"/>
  <c r="Q80" i="5"/>
  <c r="F81" i="5"/>
  <c r="G81" i="5"/>
  <c r="H81" i="5"/>
  <c r="I81" i="5"/>
  <c r="J81" i="5"/>
  <c r="K81" i="5"/>
  <c r="L81" i="5"/>
  <c r="M81" i="5"/>
  <c r="N81" i="5"/>
  <c r="O81" i="5"/>
  <c r="P81" i="5"/>
  <c r="Q81" i="5"/>
  <c r="F82" i="5"/>
  <c r="G82" i="5"/>
  <c r="H82" i="5"/>
  <c r="I82" i="5"/>
  <c r="J82" i="5"/>
  <c r="K82" i="5"/>
  <c r="L82" i="5"/>
  <c r="M82" i="5"/>
  <c r="N82" i="5"/>
  <c r="O82" i="5"/>
  <c r="P82" i="5"/>
  <c r="Q82" i="5"/>
  <c r="F83" i="5"/>
  <c r="G83" i="5"/>
  <c r="H83" i="5"/>
  <c r="I83" i="5"/>
  <c r="J83" i="5"/>
  <c r="K83" i="5"/>
  <c r="L83" i="5"/>
  <c r="M83" i="5"/>
  <c r="N83" i="5"/>
  <c r="O83" i="5"/>
  <c r="P83" i="5"/>
  <c r="Q83" i="5"/>
  <c r="F84" i="5"/>
  <c r="G84" i="5"/>
  <c r="H84" i="5"/>
  <c r="I84" i="5"/>
  <c r="J84" i="5"/>
  <c r="K84" i="5"/>
  <c r="L84" i="5"/>
  <c r="M84" i="5"/>
  <c r="N84" i="5"/>
  <c r="O84" i="5"/>
  <c r="P84" i="5"/>
  <c r="Q84" i="5"/>
  <c r="F85" i="5"/>
  <c r="G85" i="5"/>
  <c r="H85" i="5"/>
  <c r="I85" i="5"/>
  <c r="J85" i="5"/>
  <c r="K85" i="5"/>
  <c r="L85" i="5"/>
  <c r="M85" i="5"/>
  <c r="N85" i="5"/>
  <c r="O85" i="5"/>
  <c r="P85" i="5"/>
  <c r="Q85" i="5"/>
  <c r="F41" i="5"/>
  <c r="G41" i="5"/>
  <c r="H41" i="5"/>
  <c r="I41" i="5"/>
  <c r="J41" i="5"/>
  <c r="K41" i="5"/>
  <c r="L41" i="5"/>
  <c r="M41" i="5"/>
  <c r="N41" i="5"/>
  <c r="O41" i="5"/>
  <c r="P41" i="5"/>
  <c r="Q41" i="5"/>
  <c r="F44" i="5"/>
  <c r="G44" i="5"/>
  <c r="H44" i="5"/>
  <c r="I44" i="5"/>
  <c r="J44" i="5"/>
  <c r="K44" i="5"/>
  <c r="L44" i="5"/>
  <c r="M44" i="5"/>
  <c r="N44" i="5"/>
  <c r="O44" i="5"/>
  <c r="P44" i="5"/>
  <c r="Q44" i="5"/>
  <c r="F45" i="5"/>
  <c r="G45" i="5"/>
  <c r="H45" i="5"/>
  <c r="I45" i="5"/>
  <c r="J45" i="5"/>
  <c r="K45" i="5"/>
  <c r="L45" i="5"/>
  <c r="M45" i="5"/>
  <c r="N45" i="5"/>
  <c r="O45" i="5"/>
  <c r="P45" i="5"/>
  <c r="Q45" i="5"/>
  <c r="F48" i="5"/>
  <c r="G48" i="5"/>
  <c r="H48" i="5"/>
  <c r="I48" i="5"/>
  <c r="J48" i="5"/>
  <c r="K48" i="5"/>
  <c r="L48" i="5"/>
  <c r="M48" i="5"/>
  <c r="N48" i="5"/>
  <c r="O48" i="5"/>
  <c r="P48" i="5"/>
  <c r="Q48" i="5"/>
  <c r="F56" i="5"/>
  <c r="G56" i="5"/>
  <c r="H56" i="5"/>
  <c r="I56" i="5"/>
  <c r="J56" i="5"/>
  <c r="K56" i="5"/>
  <c r="L56" i="5"/>
  <c r="M56" i="5"/>
  <c r="N56" i="5"/>
  <c r="O56" i="5"/>
  <c r="P56" i="5"/>
  <c r="Q56" i="5"/>
  <c r="F57" i="5"/>
  <c r="G57" i="5"/>
  <c r="H57" i="5"/>
  <c r="I57" i="5"/>
  <c r="J57" i="5"/>
  <c r="K57" i="5"/>
  <c r="L57" i="5"/>
  <c r="M57" i="5"/>
  <c r="N57" i="5"/>
  <c r="O57" i="5"/>
  <c r="P57" i="5"/>
  <c r="Q57" i="5"/>
  <c r="F58" i="5"/>
  <c r="G58" i="5"/>
  <c r="H58" i="5"/>
  <c r="I58" i="5"/>
  <c r="J58" i="5"/>
  <c r="K58" i="5"/>
  <c r="L58" i="5"/>
  <c r="M58" i="5"/>
  <c r="N58" i="5"/>
  <c r="O58" i="5"/>
  <c r="P58" i="5"/>
  <c r="Q58" i="5"/>
  <c r="F59" i="5"/>
  <c r="G59" i="5"/>
  <c r="H59" i="5"/>
  <c r="I59" i="5"/>
  <c r="J59" i="5"/>
  <c r="K59" i="5"/>
  <c r="L59" i="5"/>
  <c r="M59" i="5"/>
  <c r="N59" i="5"/>
  <c r="O59" i="5"/>
  <c r="P59" i="5"/>
  <c r="Q59" i="5"/>
  <c r="F61" i="5"/>
  <c r="G61" i="5"/>
  <c r="H61" i="5"/>
  <c r="I61" i="5"/>
  <c r="J61" i="5"/>
  <c r="K61" i="5"/>
  <c r="L61" i="5"/>
  <c r="M61" i="5"/>
  <c r="N61" i="5"/>
  <c r="O61" i="5"/>
  <c r="P61" i="5"/>
  <c r="Q61" i="5"/>
  <c r="F62" i="5"/>
  <c r="G62" i="5"/>
  <c r="H62" i="5"/>
  <c r="I62" i="5"/>
  <c r="J62" i="5"/>
  <c r="K62" i="5"/>
  <c r="L62" i="5"/>
  <c r="M62" i="5"/>
  <c r="N62" i="5"/>
  <c r="O62" i="5"/>
  <c r="P62" i="5"/>
  <c r="Q62" i="5"/>
  <c r="F64" i="5"/>
  <c r="G64" i="5"/>
  <c r="H64" i="5"/>
  <c r="I64" i="5"/>
  <c r="J64" i="5"/>
  <c r="K64" i="5"/>
  <c r="L64" i="5"/>
  <c r="M64" i="5"/>
  <c r="N64" i="5"/>
  <c r="O64" i="5"/>
  <c r="P64" i="5"/>
  <c r="Q64" i="5"/>
  <c r="F65" i="5"/>
  <c r="G65" i="5"/>
  <c r="H65" i="5"/>
  <c r="I65" i="5"/>
  <c r="J65" i="5"/>
  <c r="K65" i="5"/>
  <c r="L65" i="5"/>
  <c r="M65" i="5"/>
  <c r="N65" i="5"/>
  <c r="O65" i="5"/>
  <c r="P65" i="5"/>
  <c r="Q65" i="5"/>
  <c r="F66" i="5"/>
  <c r="G66" i="5"/>
  <c r="H66" i="5"/>
  <c r="I66" i="5"/>
  <c r="J66" i="5"/>
  <c r="K66" i="5"/>
  <c r="L66" i="5"/>
  <c r="M66" i="5"/>
  <c r="N66" i="5"/>
  <c r="O66" i="5"/>
  <c r="P66" i="5"/>
  <c r="Q66" i="5"/>
  <c r="F67" i="5"/>
  <c r="G67" i="5"/>
  <c r="H67" i="5"/>
  <c r="I67" i="5"/>
  <c r="J67" i="5"/>
  <c r="K67" i="5"/>
  <c r="L67" i="5"/>
  <c r="M67" i="5"/>
  <c r="N67" i="5"/>
  <c r="O67" i="5"/>
  <c r="P67" i="5"/>
  <c r="Q67" i="5"/>
  <c r="F69" i="5"/>
  <c r="G69" i="5"/>
  <c r="H69" i="5"/>
  <c r="I69" i="5"/>
  <c r="J69" i="5"/>
  <c r="K69" i="5"/>
  <c r="L69" i="5"/>
  <c r="M69" i="5"/>
  <c r="N69" i="5"/>
  <c r="O69" i="5"/>
  <c r="P69" i="5"/>
  <c r="Q69" i="5"/>
  <c r="F71" i="5"/>
  <c r="G71" i="5"/>
  <c r="H71" i="5"/>
  <c r="I71" i="5"/>
  <c r="J71" i="5"/>
  <c r="K71" i="5"/>
  <c r="L71" i="5"/>
  <c r="M71" i="5"/>
  <c r="N71" i="5"/>
  <c r="O71" i="5"/>
  <c r="P71" i="5"/>
  <c r="Q71" i="5"/>
  <c r="F73" i="5"/>
  <c r="G73" i="5"/>
  <c r="H73" i="5"/>
  <c r="I73" i="5"/>
  <c r="J73" i="5"/>
  <c r="K73" i="5"/>
  <c r="L73" i="5"/>
  <c r="M73" i="5"/>
  <c r="N73" i="5"/>
  <c r="O73" i="5"/>
  <c r="P73" i="5"/>
  <c r="Q73" i="5"/>
  <c r="F74" i="5"/>
  <c r="G74" i="5"/>
  <c r="H74" i="5"/>
  <c r="I74" i="5"/>
  <c r="J74" i="5"/>
  <c r="K74" i="5"/>
  <c r="L74" i="5"/>
  <c r="M74" i="5"/>
  <c r="N74" i="5"/>
  <c r="O74" i="5"/>
  <c r="P74" i="5"/>
  <c r="Q74" i="5"/>
  <c r="F75" i="5"/>
  <c r="G75" i="5"/>
  <c r="H75" i="5"/>
  <c r="I75" i="5"/>
  <c r="J75" i="5"/>
  <c r="K75" i="5"/>
  <c r="L75" i="5"/>
  <c r="M75" i="5"/>
  <c r="N75" i="5"/>
  <c r="O75" i="5"/>
  <c r="P75" i="5"/>
  <c r="Q75" i="5"/>
  <c r="F77" i="5"/>
  <c r="G77" i="5"/>
  <c r="H77" i="5"/>
  <c r="I77" i="5"/>
  <c r="J77" i="5"/>
  <c r="K77" i="5"/>
  <c r="L77" i="5"/>
  <c r="M77" i="5"/>
  <c r="N77" i="5"/>
  <c r="O77" i="5"/>
  <c r="P77" i="5"/>
  <c r="Q77" i="5"/>
  <c r="F23" i="5"/>
  <c r="G23" i="5"/>
  <c r="H23" i="5"/>
  <c r="I23" i="5"/>
  <c r="J23" i="5"/>
  <c r="K23" i="5"/>
  <c r="L23" i="5"/>
  <c r="M23" i="5"/>
  <c r="N23" i="5"/>
  <c r="O23" i="5"/>
  <c r="P23" i="5"/>
  <c r="Q23" i="5"/>
  <c r="F24" i="5"/>
  <c r="G24" i="5"/>
  <c r="H24" i="5"/>
  <c r="I24" i="5"/>
  <c r="J24" i="5"/>
  <c r="K24" i="5"/>
  <c r="L24" i="5"/>
  <c r="M24" i="5"/>
  <c r="N24" i="5"/>
  <c r="O24" i="5"/>
  <c r="P24" i="5"/>
  <c r="Q24" i="5"/>
  <c r="F26" i="5"/>
  <c r="G26" i="5"/>
  <c r="H26" i="5"/>
  <c r="I26" i="5"/>
  <c r="J26" i="5"/>
  <c r="K26" i="5"/>
  <c r="L26" i="5"/>
  <c r="M26" i="5"/>
  <c r="N26" i="5"/>
  <c r="O26" i="5"/>
  <c r="P26" i="5"/>
  <c r="Q26" i="5"/>
  <c r="F27" i="5"/>
  <c r="G27" i="5"/>
  <c r="H27" i="5"/>
  <c r="I27" i="5"/>
  <c r="J27" i="5"/>
  <c r="K27" i="5"/>
  <c r="L27" i="5"/>
  <c r="M27" i="5"/>
  <c r="N27" i="5"/>
  <c r="O27" i="5"/>
  <c r="P27" i="5"/>
  <c r="Q27" i="5"/>
  <c r="F28" i="5"/>
  <c r="G28" i="5"/>
  <c r="H28" i="5"/>
  <c r="I28" i="5"/>
  <c r="J28" i="5"/>
  <c r="K28" i="5"/>
  <c r="L28" i="5"/>
  <c r="M28" i="5"/>
  <c r="N28" i="5"/>
  <c r="O28" i="5"/>
  <c r="P28" i="5"/>
  <c r="Q28" i="5"/>
  <c r="F29" i="5"/>
  <c r="G29" i="5"/>
  <c r="H29" i="5"/>
  <c r="I29" i="5"/>
  <c r="J29" i="5"/>
  <c r="K29" i="5"/>
  <c r="L29" i="5"/>
  <c r="M29" i="5"/>
  <c r="N29" i="5"/>
  <c r="O29" i="5"/>
  <c r="P29" i="5"/>
  <c r="Q29" i="5"/>
  <c r="F30" i="5"/>
  <c r="G30" i="5"/>
  <c r="H30" i="5"/>
  <c r="I30" i="5"/>
  <c r="J30" i="5"/>
  <c r="K30" i="5"/>
  <c r="L30" i="5"/>
  <c r="M30" i="5"/>
  <c r="N30" i="5"/>
  <c r="O30" i="5"/>
  <c r="P30" i="5"/>
  <c r="Q30" i="5"/>
  <c r="F31" i="5"/>
  <c r="G31" i="5"/>
  <c r="H31" i="5"/>
  <c r="I31" i="5"/>
  <c r="J31" i="5"/>
  <c r="K31" i="5"/>
  <c r="L31" i="5"/>
  <c r="M31" i="5"/>
  <c r="N31" i="5"/>
  <c r="O31" i="5"/>
  <c r="P31" i="5"/>
  <c r="Q31" i="5"/>
  <c r="F32" i="5"/>
  <c r="G32" i="5"/>
  <c r="H32" i="5"/>
  <c r="I32" i="5"/>
  <c r="J32" i="5"/>
  <c r="K32" i="5"/>
  <c r="L32" i="5"/>
  <c r="M32" i="5"/>
  <c r="N32" i="5"/>
  <c r="O32" i="5"/>
  <c r="P32" i="5"/>
  <c r="Q32" i="5"/>
  <c r="F33" i="5"/>
  <c r="G33" i="5"/>
  <c r="H33" i="5"/>
  <c r="I33" i="5"/>
  <c r="J33" i="5"/>
  <c r="K33" i="5"/>
  <c r="L33" i="5"/>
  <c r="M33" i="5"/>
  <c r="N33" i="5"/>
  <c r="O33" i="5"/>
  <c r="P33" i="5"/>
  <c r="Q33" i="5"/>
  <c r="F34" i="5"/>
  <c r="G34" i="5"/>
  <c r="H34" i="5"/>
  <c r="I34" i="5"/>
  <c r="J34" i="5"/>
  <c r="K34" i="5"/>
  <c r="L34" i="5"/>
  <c r="M34" i="5"/>
  <c r="N34" i="5"/>
  <c r="O34" i="5"/>
  <c r="P34" i="5"/>
  <c r="Q34" i="5"/>
  <c r="F35" i="5"/>
  <c r="G35" i="5"/>
  <c r="H35" i="5"/>
  <c r="I35" i="5"/>
  <c r="J35" i="5"/>
  <c r="K35" i="5"/>
  <c r="L35" i="5"/>
  <c r="M35" i="5"/>
  <c r="N35" i="5"/>
  <c r="O35" i="5"/>
  <c r="P35" i="5"/>
  <c r="Q35" i="5"/>
  <c r="F37" i="5"/>
  <c r="G37" i="5"/>
  <c r="H37" i="5"/>
  <c r="I37" i="5"/>
  <c r="J37" i="5"/>
  <c r="K37" i="5"/>
  <c r="L37" i="5"/>
  <c r="M37" i="5"/>
  <c r="N37" i="5"/>
  <c r="O37" i="5"/>
  <c r="P37" i="5"/>
  <c r="Q37" i="5"/>
  <c r="H6" i="5"/>
  <c r="I6" i="5"/>
  <c r="J6" i="5"/>
  <c r="K6" i="5"/>
  <c r="M6" i="5"/>
  <c r="N6" i="5"/>
  <c r="O6" i="5"/>
  <c r="P6" i="5"/>
  <c r="Q6" i="5"/>
  <c r="F7" i="5"/>
  <c r="G7" i="5"/>
  <c r="H7" i="5"/>
  <c r="I7" i="5"/>
  <c r="J7" i="5"/>
  <c r="K7" i="5"/>
  <c r="L7" i="5"/>
  <c r="M7" i="5"/>
  <c r="N7" i="5"/>
  <c r="O7" i="5"/>
  <c r="P7" i="5"/>
  <c r="Q7" i="5"/>
  <c r="F8" i="5"/>
  <c r="G8" i="5"/>
  <c r="H8" i="5"/>
  <c r="I8" i="5"/>
  <c r="J8" i="5"/>
  <c r="K8" i="5"/>
  <c r="L8" i="5"/>
  <c r="M8" i="5"/>
  <c r="N8" i="5"/>
  <c r="O8" i="5"/>
  <c r="P8" i="5"/>
  <c r="Q8" i="5"/>
  <c r="F9" i="5"/>
  <c r="G9" i="5"/>
  <c r="H9" i="5"/>
  <c r="I9" i="5"/>
  <c r="J9" i="5"/>
  <c r="K9" i="5"/>
  <c r="L9" i="5"/>
  <c r="M9" i="5"/>
  <c r="N9" i="5"/>
  <c r="O9" i="5"/>
  <c r="P9" i="5"/>
  <c r="Q9" i="5"/>
  <c r="F10" i="5"/>
  <c r="G10" i="5"/>
  <c r="H10" i="5"/>
  <c r="I10" i="5"/>
  <c r="J10" i="5"/>
  <c r="K10" i="5"/>
  <c r="L10" i="5"/>
  <c r="M10" i="5"/>
  <c r="N10" i="5"/>
  <c r="O10" i="5"/>
  <c r="P10" i="5"/>
  <c r="Q10" i="5"/>
  <c r="F11" i="5"/>
  <c r="G11" i="5"/>
  <c r="H11" i="5"/>
  <c r="I11" i="5"/>
  <c r="J11" i="5"/>
  <c r="K11" i="5"/>
  <c r="L11" i="5"/>
  <c r="M11" i="5"/>
  <c r="N11" i="5"/>
  <c r="O11" i="5"/>
  <c r="P11" i="5"/>
  <c r="Q11" i="5"/>
  <c r="F12" i="5"/>
  <c r="G12" i="5"/>
  <c r="H12" i="5"/>
  <c r="I12" i="5"/>
  <c r="J12" i="5"/>
  <c r="K12" i="5"/>
  <c r="L12" i="5"/>
  <c r="M12" i="5"/>
  <c r="N12" i="5"/>
  <c r="O12" i="5"/>
  <c r="P12" i="5"/>
  <c r="Q12" i="5"/>
  <c r="F13" i="5"/>
  <c r="G13" i="5"/>
  <c r="H13" i="5"/>
  <c r="I13" i="5"/>
  <c r="J13" i="5"/>
  <c r="K13" i="5"/>
  <c r="L13" i="5"/>
  <c r="M13" i="5"/>
  <c r="N13" i="5"/>
  <c r="O13" i="5"/>
  <c r="P13" i="5"/>
  <c r="Q13" i="5"/>
  <c r="F14" i="5"/>
  <c r="G14" i="5"/>
  <c r="H14" i="5"/>
  <c r="I14" i="5"/>
  <c r="J14" i="5"/>
  <c r="K14" i="5"/>
  <c r="L14" i="5"/>
  <c r="M14" i="5"/>
  <c r="N14" i="5"/>
  <c r="O14" i="5"/>
  <c r="P14" i="5"/>
  <c r="Q14" i="5"/>
  <c r="F15" i="5"/>
  <c r="G15" i="5"/>
  <c r="H15" i="5"/>
  <c r="I15" i="5"/>
  <c r="J15" i="5"/>
  <c r="K15" i="5"/>
  <c r="L15" i="5"/>
  <c r="M15" i="5"/>
  <c r="N15" i="5"/>
  <c r="O15" i="5"/>
  <c r="P15" i="5"/>
  <c r="Q15" i="5"/>
  <c r="F16" i="5"/>
  <c r="G16" i="5"/>
  <c r="H16" i="5"/>
  <c r="I16" i="5"/>
  <c r="J16" i="5"/>
  <c r="K16" i="5"/>
  <c r="L16" i="5"/>
  <c r="M16" i="5"/>
  <c r="N16" i="5"/>
  <c r="O16" i="5"/>
  <c r="P16" i="5"/>
  <c r="Q16" i="5"/>
  <c r="F17" i="5"/>
  <c r="G17" i="5"/>
  <c r="H17" i="5"/>
  <c r="I17" i="5"/>
  <c r="J17" i="5"/>
  <c r="K17" i="5"/>
  <c r="L17" i="5"/>
  <c r="M17" i="5"/>
  <c r="N17" i="5"/>
  <c r="O17" i="5"/>
  <c r="P17" i="5"/>
  <c r="Q17" i="5"/>
  <c r="F18" i="5"/>
  <c r="G18" i="5"/>
  <c r="H18" i="5"/>
  <c r="I18" i="5"/>
  <c r="J18" i="5"/>
  <c r="K18" i="5"/>
  <c r="L18" i="5"/>
  <c r="M18" i="5"/>
  <c r="N18" i="5"/>
  <c r="O18" i="5"/>
  <c r="P18" i="5"/>
  <c r="Q18" i="5"/>
  <c r="F19" i="5"/>
  <c r="G19" i="5"/>
  <c r="H19" i="5"/>
  <c r="I19" i="5"/>
  <c r="J19" i="5"/>
  <c r="K19" i="5"/>
  <c r="L19" i="5"/>
  <c r="M19" i="5"/>
  <c r="N19" i="5"/>
  <c r="O19" i="5"/>
  <c r="P19" i="5"/>
  <c r="Q19" i="5"/>
  <c r="F20" i="5"/>
  <c r="G20" i="5"/>
  <c r="H20" i="5"/>
  <c r="I20" i="5"/>
  <c r="J20" i="5"/>
  <c r="K20" i="5"/>
  <c r="L20" i="5"/>
  <c r="M20" i="5"/>
  <c r="N20" i="5"/>
  <c r="O20" i="5"/>
  <c r="P20" i="5"/>
  <c r="Q20" i="5"/>
  <c r="F21" i="5"/>
  <c r="G21" i="5"/>
  <c r="H21" i="5"/>
  <c r="I21" i="5"/>
  <c r="J21" i="5"/>
  <c r="K21" i="5"/>
  <c r="L21" i="5"/>
  <c r="M21" i="5"/>
  <c r="N21" i="5"/>
  <c r="O21" i="5"/>
  <c r="P21" i="5"/>
  <c r="Q21" i="5"/>
  <c r="Q25" i="5"/>
  <c r="Q36" i="5"/>
  <c r="Q40" i="5"/>
  <c r="Q42" i="5"/>
  <c r="Q43" i="5"/>
  <c r="Q46" i="5"/>
  <c r="Q47" i="5"/>
  <c r="Q60" i="5"/>
  <c r="Q63" i="5"/>
  <c r="Q70" i="5"/>
  <c r="Q76" i="5"/>
  <c r="Q87" i="5"/>
  <c r="Q97" i="5"/>
  <c r="P25" i="5"/>
  <c r="P36" i="5"/>
  <c r="P40" i="5"/>
  <c r="P42" i="5"/>
  <c r="P43" i="5"/>
  <c r="P46" i="5"/>
  <c r="P47" i="5"/>
  <c r="P60" i="5"/>
  <c r="P63" i="5"/>
  <c r="P70" i="5"/>
  <c r="P76" i="5"/>
  <c r="P87" i="5"/>
  <c r="P97" i="5"/>
  <c r="O25" i="5"/>
  <c r="O36" i="5"/>
  <c r="O40" i="5"/>
  <c r="O42" i="5"/>
  <c r="O43" i="5"/>
  <c r="O46" i="5"/>
  <c r="O47" i="5"/>
  <c r="O60" i="5"/>
  <c r="O63" i="5"/>
  <c r="O70" i="5"/>
  <c r="O76" i="5"/>
  <c r="O87" i="5"/>
  <c r="O97" i="5"/>
  <c r="N25" i="5"/>
  <c r="N36" i="5"/>
  <c r="N40" i="5"/>
  <c r="N42" i="5"/>
  <c r="N43" i="5"/>
  <c r="N46" i="5"/>
  <c r="N47" i="5"/>
  <c r="N60" i="5"/>
  <c r="N63" i="5"/>
  <c r="N70" i="5"/>
  <c r="N76" i="5"/>
  <c r="N87" i="5"/>
  <c r="N97" i="5"/>
  <c r="M25" i="5"/>
  <c r="M36" i="5"/>
  <c r="M40" i="5"/>
  <c r="M42" i="5"/>
  <c r="M43" i="5"/>
  <c r="M46" i="5"/>
  <c r="M47" i="5"/>
  <c r="M60" i="5"/>
  <c r="M63" i="5"/>
  <c r="M70" i="5"/>
  <c r="M76" i="5"/>
  <c r="M87" i="5"/>
  <c r="M97" i="5"/>
  <c r="L25" i="5"/>
  <c r="L36" i="5"/>
  <c r="L40" i="5"/>
  <c r="L42" i="5"/>
  <c r="L43" i="5"/>
  <c r="L46" i="5"/>
  <c r="L47" i="5"/>
  <c r="L60" i="5"/>
  <c r="L63" i="5"/>
  <c r="L70" i="5"/>
  <c r="L76" i="5"/>
  <c r="L87" i="5"/>
  <c r="L97" i="5"/>
  <c r="K25" i="5"/>
  <c r="K36" i="5"/>
  <c r="K40" i="5"/>
  <c r="K42" i="5"/>
  <c r="K43" i="5"/>
  <c r="K46" i="5"/>
  <c r="K47" i="5"/>
  <c r="K60" i="5"/>
  <c r="K63" i="5"/>
  <c r="K70" i="5"/>
  <c r="K76" i="5"/>
  <c r="K87" i="5"/>
  <c r="K97" i="5"/>
  <c r="J25" i="5"/>
  <c r="J36" i="5"/>
  <c r="J40" i="5"/>
  <c r="J42" i="5"/>
  <c r="J43" i="5"/>
  <c r="J46" i="5"/>
  <c r="J47" i="5"/>
  <c r="J60" i="5"/>
  <c r="J63" i="5"/>
  <c r="J70" i="5"/>
  <c r="J76" i="5"/>
  <c r="J87" i="5"/>
  <c r="J97" i="5"/>
  <c r="I25" i="5"/>
  <c r="I36" i="5"/>
  <c r="I40" i="5"/>
  <c r="I42" i="5"/>
  <c r="I43" i="5"/>
  <c r="I46" i="5"/>
  <c r="I47" i="5"/>
  <c r="I60" i="5"/>
  <c r="I63" i="5"/>
  <c r="I70" i="5"/>
  <c r="I76" i="5"/>
  <c r="I87" i="5"/>
  <c r="I97" i="5"/>
  <c r="H25" i="5"/>
  <c r="H36" i="5"/>
  <c r="H40" i="5"/>
  <c r="H42" i="5"/>
  <c r="H43" i="5"/>
  <c r="H46" i="5"/>
  <c r="H47" i="5"/>
  <c r="H60" i="5"/>
  <c r="H63" i="5"/>
  <c r="H70" i="5"/>
  <c r="H76" i="5"/>
  <c r="H87" i="5"/>
  <c r="H97" i="5"/>
  <c r="G25" i="5"/>
  <c r="G36" i="5"/>
  <c r="G40" i="5"/>
  <c r="G42" i="5"/>
  <c r="G43" i="5"/>
  <c r="G46" i="5"/>
  <c r="G47" i="5"/>
  <c r="G60" i="5"/>
  <c r="G63" i="5"/>
  <c r="G70" i="5"/>
  <c r="G76" i="5"/>
  <c r="G87" i="5"/>
  <c r="G86" i="5" s="1"/>
  <c r="G97" i="5"/>
  <c r="F25" i="5"/>
  <c r="F36" i="5"/>
  <c r="F40" i="5"/>
  <c r="F42" i="5"/>
  <c r="F43" i="5"/>
  <c r="F46" i="5"/>
  <c r="F47" i="5"/>
  <c r="F60" i="5"/>
  <c r="F63" i="5"/>
  <c r="F70" i="5"/>
  <c r="F68" i="5" s="1"/>
  <c r="F76" i="5"/>
  <c r="F72" i="5" s="1"/>
  <c r="F87" i="5"/>
  <c r="F86" i="5" s="1"/>
  <c r="F97" i="5"/>
  <c r="S97" i="5"/>
  <c r="S87" i="5"/>
  <c r="S76" i="5"/>
  <c r="S70" i="5"/>
  <c r="S63" i="5"/>
  <c r="S60" i="5"/>
  <c r="S54" i="5"/>
  <c r="S53" i="5"/>
  <c r="S52" i="5"/>
  <c r="S51" i="5"/>
  <c r="S50" i="5"/>
  <c r="S49" i="5"/>
  <c r="S47" i="5"/>
  <c r="S46" i="5"/>
  <c r="S43" i="5"/>
  <c r="S42" i="5"/>
  <c r="S40" i="5"/>
  <c r="S36" i="5"/>
  <c r="S25" i="5"/>
  <c r="S22" i="4"/>
  <c r="S38" i="4"/>
  <c r="Q98" i="4"/>
  <c r="P98" i="4"/>
  <c r="O98" i="4"/>
  <c r="N98" i="4"/>
  <c r="M98" i="4"/>
  <c r="L98" i="4"/>
  <c r="K98" i="4"/>
  <c r="J98" i="4"/>
  <c r="I98" i="4"/>
  <c r="H98" i="4"/>
  <c r="G98" i="4"/>
  <c r="F98" i="4"/>
  <c r="R98" i="4"/>
  <c r="S98" i="4"/>
  <c r="Q97" i="4"/>
  <c r="P97" i="4"/>
  <c r="O97" i="4"/>
  <c r="N97" i="4"/>
  <c r="M97" i="4"/>
  <c r="L97" i="4"/>
  <c r="K97" i="4"/>
  <c r="J97" i="4"/>
  <c r="I97" i="4"/>
  <c r="H97" i="4"/>
  <c r="G97" i="4"/>
  <c r="F97" i="4"/>
  <c r="R97" i="4"/>
  <c r="S97" i="4"/>
  <c r="Q96" i="4"/>
  <c r="P96" i="4"/>
  <c r="O96" i="4"/>
  <c r="N96" i="4"/>
  <c r="M96" i="4"/>
  <c r="L96" i="4"/>
  <c r="K96" i="4"/>
  <c r="J96" i="4"/>
  <c r="I96" i="4"/>
  <c r="H96" i="4"/>
  <c r="G96" i="4"/>
  <c r="F96" i="4"/>
  <c r="R96" i="4"/>
  <c r="S96" i="4"/>
  <c r="Q95" i="4"/>
  <c r="P95" i="4"/>
  <c r="O95" i="4"/>
  <c r="N95" i="4"/>
  <c r="M95" i="4"/>
  <c r="L95" i="4"/>
  <c r="K95" i="4"/>
  <c r="J95" i="4"/>
  <c r="I95" i="4"/>
  <c r="H95" i="4"/>
  <c r="G95" i="4"/>
  <c r="F95" i="4"/>
  <c r="R95" i="4"/>
  <c r="S95" i="4"/>
  <c r="Q94" i="4"/>
  <c r="P94" i="4"/>
  <c r="O94" i="4"/>
  <c r="N94" i="4"/>
  <c r="M94" i="4"/>
  <c r="L94" i="4"/>
  <c r="K94" i="4"/>
  <c r="J94" i="4"/>
  <c r="I94" i="4"/>
  <c r="H94" i="4"/>
  <c r="G94" i="4"/>
  <c r="F94" i="4"/>
  <c r="R94" i="4"/>
  <c r="S94" i="4"/>
  <c r="Q93" i="4"/>
  <c r="P93" i="4"/>
  <c r="O93" i="4"/>
  <c r="N93" i="4"/>
  <c r="M93" i="4"/>
  <c r="L93" i="4"/>
  <c r="K93" i="4"/>
  <c r="J93" i="4"/>
  <c r="I93" i="4"/>
  <c r="H93" i="4"/>
  <c r="G93" i="4"/>
  <c r="F93" i="4"/>
  <c r="R93" i="4"/>
  <c r="S93" i="4"/>
  <c r="Q92" i="4"/>
  <c r="P92" i="4"/>
  <c r="O92" i="4"/>
  <c r="N92" i="4"/>
  <c r="M92" i="4"/>
  <c r="L92" i="4"/>
  <c r="K92" i="4"/>
  <c r="J92" i="4"/>
  <c r="I92" i="4"/>
  <c r="H92" i="4"/>
  <c r="G92" i="4"/>
  <c r="F92" i="4"/>
  <c r="R92" i="4"/>
  <c r="S92" i="4"/>
  <c r="Q91" i="4"/>
  <c r="P91" i="4"/>
  <c r="O91" i="4"/>
  <c r="N91" i="4"/>
  <c r="M91" i="4"/>
  <c r="L91" i="4"/>
  <c r="K91" i="4"/>
  <c r="J91" i="4"/>
  <c r="I91" i="4"/>
  <c r="H91" i="4"/>
  <c r="G91" i="4"/>
  <c r="F91" i="4"/>
  <c r="R91" i="4"/>
  <c r="S91" i="4"/>
  <c r="Q90" i="4"/>
  <c r="P90" i="4"/>
  <c r="O90" i="4"/>
  <c r="N90" i="4"/>
  <c r="M90" i="4"/>
  <c r="L90" i="4"/>
  <c r="K90" i="4"/>
  <c r="J90" i="4"/>
  <c r="I90" i="4"/>
  <c r="H90" i="4"/>
  <c r="G90" i="4"/>
  <c r="F90" i="4"/>
  <c r="R90" i="4"/>
  <c r="S90" i="4"/>
  <c r="Q89" i="4"/>
  <c r="P89" i="4"/>
  <c r="O89" i="4"/>
  <c r="N89" i="4"/>
  <c r="M89" i="4"/>
  <c r="L89" i="4"/>
  <c r="K89" i="4"/>
  <c r="J89" i="4"/>
  <c r="I89" i="4"/>
  <c r="H89" i="4"/>
  <c r="G89" i="4"/>
  <c r="F89" i="4"/>
  <c r="R89" i="4"/>
  <c r="S89" i="4"/>
  <c r="S88" i="4"/>
  <c r="Q88" i="4"/>
  <c r="P88" i="4"/>
  <c r="O88" i="4"/>
  <c r="N88" i="4"/>
  <c r="M88" i="4"/>
  <c r="L88" i="4"/>
  <c r="K88" i="4"/>
  <c r="J88" i="4"/>
  <c r="I88" i="4"/>
  <c r="H88" i="4"/>
  <c r="G88" i="4"/>
  <c r="F88" i="4"/>
  <c r="S87" i="4"/>
  <c r="Q87" i="4"/>
  <c r="P87" i="4"/>
  <c r="O87" i="4"/>
  <c r="N87" i="4"/>
  <c r="M87" i="4"/>
  <c r="L87" i="4"/>
  <c r="K87" i="4"/>
  <c r="J87" i="4"/>
  <c r="I87" i="4"/>
  <c r="H87" i="4"/>
  <c r="G87" i="4"/>
  <c r="F87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Q85" i="4"/>
  <c r="P85" i="4"/>
  <c r="O85" i="4"/>
  <c r="N85" i="4"/>
  <c r="M85" i="4"/>
  <c r="L85" i="4"/>
  <c r="K85" i="4"/>
  <c r="J85" i="4"/>
  <c r="I85" i="4"/>
  <c r="H85" i="4"/>
  <c r="G85" i="4"/>
  <c r="F85" i="4"/>
  <c r="R85" i="4"/>
  <c r="S85" i="4"/>
  <c r="Q84" i="4"/>
  <c r="P84" i="4"/>
  <c r="O84" i="4"/>
  <c r="N84" i="4"/>
  <c r="M84" i="4"/>
  <c r="L84" i="4"/>
  <c r="K84" i="4"/>
  <c r="J84" i="4"/>
  <c r="I84" i="4"/>
  <c r="H84" i="4"/>
  <c r="G84" i="4"/>
  <c r="F84" i="4"/>
  <c r="R84" i="4"/>
  <c r="S84" i="4"/>
  <c r="Q83" i="4"/>
  <c r="P83" i="4"/>
  <c r="O83" i="4"/>
  <c r="N83" i="4"/>
  <c r="M83" i="4"/>
  <c r="L83" i="4"/>
  <c r="K83" i="4"/>
  <c r="J83" i="4"/>
  <c r="I83" i="4"/>
  <c r="H83" i="4"/>
  <c r="G83" i="4"/>
  <c r="F83" i="4"/>
  <c r="R83" i="4"/>
  <c r="S83" i="4"/>
  <c r="Q82" i="4"/>
  <c r="P82" i="4"/>
  <c r="O82" i="4"/>
  <c r="N82" i="4"/>
  <c r="M82" i="4"/>
  <c r="L82" i="4"/>
  <c r="K82" i="4"/>
  <c r="J82" i="4"/>
  <c r="I82" i="4"/>
  <c r="H82" i="4"/>
  <c r="G82" i="4"/>
  <c r="F82" i="4"/>
  <c r="R82" i="4"/>
  <c r="S82" i="4"/>
  <c r="Q81" i="4"/>
  <c r="P81" i="4"/>
  <c r="O81" i="4"/>
  <c r="N81" i="4"/>
  <c r="M81" i="4"/>
  <c r="L81" i="4"/>
  <c r="K81" i="4"/>
  <c r="J81" i="4"/>
  <c r="I81" i="4"/>
  <c r="H81" i="4"/>
  <c r="G81" i="4"/>
  <c r="F81" i="4"/>
  <c r="R81" i="4"/>
  <c r="S81" i="4"/>
  <c r="Q80" i="4"/>
  <c r="P80" i="4"/>
  <c r="O80" i="4"/>
  <c r="N80" i="4"/>
  <c r="M80" i="4"/>
  <c r="L80" i="4"/>
  <c r="K80" i="4"/>
  <c r="J80" i="4"/>
  <c r="I80" i="4"/>
  <c r="H80" i="4"/>
  <c r="G80" i="4"/>
  <c r="F80" i="4"/>
  <c r="R80" i="4"/>
  <c r="S80" i="4"/>
  <c r="Q79" i="4"/>
  <c r="P79" i="4"/>
  <c r="O79" i="4"/>
  <c r="N79" i="4"/>
  <c r="M79" i="4"/>
  <c r="L79" i="4"/>
  <c r="K79" i="4"/>
  <c r="J79" i="4"/>
  <c r="I79" i="4"/>
  <c r="H79" i="4"/>
  <c r="G79" i="4"/>
  <c r="F79" i="4"/>
  <c r="R79" i="4"/>
  <c r="S79" i="4"/>
  <c r="R78" i="4"/>
  <c r="S78" i="4"/>
  <c r="Q78" i="4"/>
  <c r="P78" i="4"/>
  <c r="O78" i="4"/>
  <c r="N78" i="4"/>
  <c r="M78" i="4"/>
  <c r="L78" i="4"/>
  <c r="K78" i="4"/>
  <c r="J78" i="4"/>
  <c r="I78" i="4"/>
  <c r="H78" i="4"/>
  <c r="G78" i="4"/>
  <c r="F78" i="4"/>
  <c r="Q77" i="4"/>
  <c r="P77" i="4"/>
  <c r="O77" i="4"/>
  <c r="N77" i="4"/>
  <c r="M77" i="4"/>
  <c r="L77" i="4"/>
  <c r="K77" i="4"/>
  <c r="J77" i="4"/>
  <c r="I77" i="4"/>
  <c r="H77" i="4"/>
  <c r="G77" i="4"/>
  <c r="F77" i="4"/>
  <c r="R77" i="4"/>
  <c r="S77" i="4"/>
  <c r="S76" i="4"/>
  <c r="Q76" i="4"/>
  <c r="P76" i="4"/>
  <c r="O76" i="4"/>
  <c r="N76" i="4"/>
  <c r="M76" i="4"/>
  <c r="L76" i="4"/>
  <c r="K76" i="4"/>
  <c r="J76" i="4"/>
  <c r="I76" i="4"/>
  <c r="H76" i="4"/>
  <c r="G76" i="4"/>
  <c r="F76" i="4"/>
  <c r="Q75" i="4"/>
  <c r="P75" i="4"/>
  <c r="O75" i="4"/>
  <c r="N75" i="4"/>
  <c r="M75" i="4"/>
  <c r="L75" i="4"/>
  <c r="K75" i="4"/>
  <c r="J75" i="4"/>
  <c r="I75" i="4"/>
  <c r="H75" i="4"/>
  <c r="G75" i="4"/>
  <c r="F75" i="4"/>
  <c r="R75" i="4"/>
  <c r="S75" i="4"/>
  <c r="Q74" i="4"/>
  <c r="P74" i="4"/>
  <c r="O74" i="4"/>
  <c r="N74" i="4"/>
  <c r="M74" i="4"/>
  <c r="L74" i="4"/>
  <c r="K74" i="4"/>
  <c r="J74" i="4"/>
  <c r="I74" i="4"/>
  <c r="H74" i="4"/>
  <c r="G74" i="4"/>
  <c r="F74" i="4"/>
  <c r="R74" i="4"/>
  <c r="S74" i="4"/>
  <c r="Q73" i="4"/>
  <c r="P73" i="4"/>
  <c r="O73" i="4"/>
  <c r="N73" i="4"/>
  <c r="M73" i="4"/>
  <c r="L73" i="4"/>
  <c r="K73" i="4"/>
  <c r="J73" i="4"/>
  <c r="I73" i="4"/>
  <c r="H73" i="4"/>
  <c r="G73" i="4"/>
  <c r="F73" i="4"/>
  <c r="R73" i="4"/>
  <c r="S73" i="4"/>
  <c r="R72" i="4"/>
  <c r="S72" i="4"/>
  <c r="Q72" i="4"/>
  <c r="P72" i="4"/>
  <c r="O72" i="4"/>
  <c r="N72" i="4"/>
  <c r="M72" i="4"/>
  <c r="L72" i="4"/>
  <c r="K72" i="4"/>
  <c r="J72" i="4"/>
  <c r="I72" i="4"/>
  <c r="H72" i="4"/>
  <c r="G72" i="4"/>
  <c r="F72" i="4"/>
  <c r="Q71" i="4"/>
  <c r="P71" i="4"/>
  <c r="O71" i="4"/>
  <c r="N71" i="4"/>
  <c r="M71" i="4"/>
  <c r="L71" i="4"/>
  <c r="K71" i="4"/>
  <c r="J71" i="4"/>
  <c r="I71" i="4"/>
  <c r="H71" i="4"/>
  <c r="G71" i="4"/>
  <c r="F71" i="4"/>
  <c r="R71" i="4"/>
  <c r="S71" i="4"/>
  <c r="S70" i="4"/>
  <c r="Q70" i="4"/>
  <c r="P70" i="4"/>
  <c r="O70" i="4"/>
  <c r="N70" i="4"/>
  <c r="M70" i="4"/>
  <c r="L70" i="4"/>
  <c r="K70" i="4"/>
  <c r="J70" i="4"/>
  <c r="I70" i="4"/>
  <c r="H70" i="4"/>
  <c r="G70" i="4"/>
  <c r="F70" i="4"/>
  <c r="Q69" i="4"/>
  <c r="P69" i="4"/>
  <c r="O69" i="4"/>
  <c r="N69" i="4"/>
  <c r="M69" i="4"/>
  <c r="L69" i="4"/>
  <c r="K69" i="4"/>
  <c r="J69" i="4"/>
  <c r="I69" i="4"/>
  <c r="H69" i="4"/>
  <c r="G69" i="4"/>
  <c r="F69" i="4"/>
  <c r="R69" i="4"/>
  <c r="S69" i="4"/>
  <c r="R68" i="4"/>
  <c r="S68" i="4"/>
  <c r="Q68" i="4"/>
  <c r="P68" i="4"/>
  <c r="O68" i="4"/>
  <c r="N68" i="4"/>
  <c r="M68" i="4"/>
  <c r="L68" i="4"/>
  <c r="K68" i="4"/>
  <c r="J68" i="4"/>
  <c r="I68" i="4"/>
  <c r="H68" i="4"/>
  <c r="G68" i="4"/>
  <c r="F68" i="4"/>
  <c r="Q67" i="4"/>
  <c r="P67" i="4"/>
  <c r="O67" i="4"/>
  <c r="N67" i="4"/>
  <c r="M67" i="4"/>
  <c r="L67" i="4"/>
  <c r="K67" i="4"/>
  <c r="J67" i="4"/>
  <c r="I67" i="4"/>
  <c r="H67" i="4"/>
  <c r="G67" i="4"/>
  <c r="F67" i="4"/>
  <c r="R67" i="4"/>
  <c r="S67" i="4"/>
  <c r="Q66" i="4"/>
  <c r="P66" i="4"/>
  <c r="O66" i="4"/>
  <c r="N66" i="4"/>
  <c r="M66" i="4"/>
  <c r="L66" i="4"/>
  <c r="K66" i="4"/>
  <c r="J66" i="4"/>
  <c r="I66" i="4"/>
  <c r="H66" i="4"/>
  <c r="G66" i="4"/>
  <c r="F66" i="4"/>
  <c r="R66" i="4"/>
  <c r="S66" i="4"/>
  <c r="Q65" i="4"/>
  <c r="P65" i="4"/>
  <c r="O65" i="4"/>
  <c r="N65" i="4"/>
  <c r="M65" i="4"/>
  <c r="L65" i="4"/>
  <c r="K65" i="4"/>
  <c r="J65" i="4"/>
  <c r="I65" i="4"/>
  <c r="H65" i="4"/>
  <c r="G65" i="4"/>
  <c r="F65" i="4"/>
  <c r="R65" i="4"/>
  <c r="S65" i="4"/>
  <c r="Q64" i="4"/>
  <c r="P64" i="4"/>
  <c r="O64" i="4"/>
  <c r="N64" i="4"/>
  <c r="M64" i="4"/>
  <c r="L64" i="4"/>
  <c r="K64" i="4"/>
  <c r="J64" i="4"/>
  <c r="I64" i="4"/>
  <c r="H64" i="4"/>
  <c r="G64" i="4"/>
  <c r="F64" i="4"/>
  <c r="R64" i="4"/>
  <c r="S64" i="4"/>
  <c r="S63" i="4"/>
  <c r="Q63" i="4"/>
  <c r="P63" i="4"/>
  <c r="O63" i="4"/>
  <c r="N63" i="4"/>
  <c r="M63" i="4"/>
  <c r="L63" i="4"/>
  <c r="K63" i="4"/>
  <c r="J63" i="4"/>
  <c r="I63" i="4"/>
  <c r="H63" i="4"/>
  <c r="G63" i="4"/>
  <c r="F63" i="4"/>
  <c r="Q62" i="4"/>
  <c r="P62" i="4"/>
  <c r="O62" i="4"/>
  <c r="N62" i="4"/>
  <c r="M62" i="4"/>
  <c r="L62" i="4"/>
  <c r="K62" i="4"/>
  <c r="J62" i="4"/>
  <c r="I62" i="4"/>
  <c r="H62" i="4"/>
  <c r="G62" i="4"/>
  <c r="F62" i="4"/>
  <c r="R62" i="4"/>
  <c r="S62" i="4"/>
  <c r="Q61" i="4"/>
  <c r="P61" i="4"/>
  <c r="O61" i="4"/>
  <c r="N61" i="4"/>
  <c r="M61" i="4"/>
  <c r="L61" i="4"/>
  <c r="K61" i="4"/>
  <c r="J61" i="4"/>
  <c r="I61" i="4"/>
  <c r="H61" i="4"/>
  <c r="G61" i="4"/>
  <c r="F61" i="4"/>
  <c r="R61" i="4"/>
  <c r="S61" i="4"/>
  <c r="S60" i="4"/>
  <c r="Q60" i="4"/>
  <c r="P60" i="4"/>
  <c r="O60" i="4"/>
  <c r="N60" i="4"/>
  <c r="M60" i="4"/>
  <c r="L60" i="4"/>
  <c r="K60" i="4"/>
  <c r="J60" i="4"/>
  <c r="I60" i="4"/>
  <c r="H60" i="4"/>
  <c r="G60" i="4"/>
  <c r="F60" i="4"/>
  <c r="Q59" i="4"/>
  <c r="P59" i="4"/>
  <c r="O59" i="4"/>
  <c r="N59" i="4"/>
  <c r="M59" i="4"/>
  <c r="L59" i="4"/>
  <c r="K59" i="4"/>
  <c r="J59" i="4"/>
  <c r="I59" i="4"/>
  <c r="H59" i="4"/>
  <c r="G59" i="4"/>
  <c r="F59" i="4"/>
  <c r="R59" i="4"/>
  <c r="S59" i="4"/>
  <c r="Q58" i="4"/>
  <c r="P58" i="4"/>
  <c r="O58" i="4"/>
  <c r="N58" i="4"/>
  <c r="M58" i="4"/>
  <c r="L58" i="4"/>
  <c r="K58" i="4"/>
  <c r="J58" i="4"/>
  <c r="I58" i="4"/>
  <c r="H58" i="4"/>
  <c r="G58" i="4"/>
  <c r="F58" i="4"/>
  <c r="R58" i="4"/>
  <c r="S58" i="4"/>
  <c r="Q57" i="4"/>
  <c r="P57" i="4"/>
  <c r="O57" i="4"/>
  <c r="N57" i="4"/>
  <c r="M57" i="4"/>
  <c r="L57" i="4"/>
  <c r="K57" i="4"/>
  <c r="J57" i="4"/>
  <c r="I57" i="4"/>
  <c r="H57" i="4"/>
  <c r="G57" i="4"/>
  <c r="F57" i="4"/>
  <c r="R57" i="4"/>
  <c r="S57" i="4"/>
  <c r="Q56" i="4"/>
  <c r="P56" i="4"/>
  <c r="O56" i="4"/>
  <c r="N56" i="4"/>
  <c r="M56" i="4"/>
  <c r="L56" i="4"/>
  <c r="K56" i="4"/>
  <c r="J56" i="4"/>
  <c r="I56" i="4"/>
  <c r="H56" i="4"/>
  <c r="G56" i="4"/>
  <c r="F56" i="4"/>
  <c r="R56" i="4"/>
  <c r="S56" i="4"/>
  <c r="R55" i="4"/>
  <c r="S55" i="4"/>
  <c r="Q55" i="4"/>
  <c r="P55" i="4"/>
  <c r="O55" i="4"/>
  <c r="N55" i="4"/>
  <c r="M55" i="4"/>
  <c r="L55" i="4"/>
  <c r="K55" i="4"/>
  <c r="J55" i="4"/>
  <c r="I55" i="4"/>
  <c r="H55" i="4"/>
  <c r="G55" i="4"/>
  <c r="F55" i="4"/>
  <c r="S54" i="4"/>
  <c r="S53" i="4"/>
  <c r="S52" i="4"/>
  <c r="S51" i="4"/>
  <c r="S50" i="4"/>
  <c r="S49" i="4"/>
  <c r="Q48" i="4"/>
  <c r="P48" i="4"/>
  <c r="O48" i="4"/>
  <c r="N48" i="4"/>
  <c r="M48" i="4"/>
  <c r="L48" i="4"/>
  <c r="K48" i="4"/>
  <c r="J48" i="4"/>
  <c r="I48" i="4"/>
  <c r="H48" i="4"/>
  <c r="G48" i="4"/>
  <c r="F48" i="4"/>
  <c r="R48" i="4"/>
  <c r="S48" i="4"/>
  <c r="S47" i="4"/>
  <c r="Q47" i="4"/>
  <c r="P47" i="4"/>
  <c r="O47" i="4"/>
  <c r="N47" i="4"/>
  <c r="M47" i="4"/>
  <c r="L47" i="4"/>
  <c r="K47" i="4"/>
  <c r="J47" i="4"/>
  <c r="I47" i="4"/>
  <c r="H47" i="4"/>
  <c r="G47" i="4"/>
  <c r="F47" i="4"/>
  <c r="S46" i="4"/>
  <c r="Q46" i="4"/>
  <c r="P46" i="4"/>
  <c r="O46" i="4"/>
  <c r="N46" i="4"/>
  <c r="M46" i="4"/>
  <c r="L46" i="4"/>
  <c r="K46" i="4"/>
  <c r="J46" i="4"/>
  <c r="I46" i="4"/>
  <c r="H46" i="4"/>
  <c r="G46" i="4"/>
  <c r="F46" i="4"/>
  <c r="Q45" i="4"/>
  <c r="P45" i="4"/>
  <c r="O45" i="4"/>
  <c r="N45" i="4"/>
  <c r="M45" i="4"/>
  <c r="L45" i="4"/>
  <c r="K45" i="4"/>
  <c r="J45" i="4"/>
  <c r="I45" i="4"/>
  <c r="H45" i="4"/>
  <c r="G45" i="4"/>
  <c r="F45" i="4"/>
  <c r="R45" i="4"/>
  <c r="S45" i="4"/>
  <c r="Q44" i="4"/>
  <c r="P44" i="4"/>
  <c r="O44" i="4"/>
  <c r="N44" i="4"/>
  <c r="M44" i="4"/>
  <c r="L44" i="4"/>
  <c r="K44" i="4"/>
  <c r="J44" i="4"/>
  <c r="I44" i="4"/>
  <c r="H44" i="4"/>
  <c r="G44" i="4"/>
  <c r="F44" i="4"/>
  <c r="R44" i="4"/>
  <c r="S44" i="4"/>
  <c r="S43" i="4"/>
  <c r="Q43" i="4"/>
  <c r="P43" i="4"/>
  <c r="O43" i="4"/>
  <c r="N43" i="4"/>
  <c r="M43" i="4"/>
  <c r="L43" i="4"/>
  <c r="K43" i="4"/>
  <c r="J43" i="4"/>
  <c r="I43" i="4"/>
  <c r="H43" i="4"/>
  <c r="G43" i="4"/>
  <c r="F43" i="4"/>
  <c r="S42" i="4"/>
  <c r="Q42" i="4"/>
  <c r="P42" i="4"/>
  <c r="O42" i="4"/>
  <c r="N42" i="4"/>
  <c r="M42" i="4"/>
  <c r="L42" i="4"/>
  <c r="K42" i="4"/>
  <c r="J42" i="4"/>
  <c r="I42" i="4"/>
  <c r="H42" i="4"/>
  <c r="G42" i="4"/>
  <c r="F42" i="4"/>
  <c r="Q41" i="4"/>
  <c r="P41" i="4"/>
  <c r="O41" i="4"/>
  <c r="N41" i="4"/>
  <c r="M41" i="4"/>
  <c r="L41" i="4"/>
  <c r="K41" i="4"/>
  <c r="J41" i="4"/>
  <c r="I41" i="4"/>
  <c r="H41" i="4"/>
  <c r="G41" i="4"/>
  <c r="F41" i="4"/>
  <c r="R41" i="4"/>
  <c r="S40" i="4"/>
  <c r="Q40" i="4"/>
  <c r="P40" i="4"/>
  <c r="O40" i="4"/>
  <c r="N40" i="4"/>
  <c r="M40" i="4"/>
  <c r="L40" i="4"/>
  <c r="K40" i="4"/>
  <c r="J40" i="4"/>
  <c r="I40" i="4"/>
  <c r="H40" i="4"/>
  <c r="G40" i="4"/>
  <c r="F40" i="4"/>
  <c r="Q39" i="4"/>
  <c r="P39" i="4"/>
  <c r="O39" i="4"/>
  <c r="N39" i="4"/>
  <c r="M39" i="4"/>
  <c r="L39" i="4"/>
  <c r="K39" i="4"/>
  <c r="J39" i="4"/>
  <c r="I39" i="4"/>
  <c r="H39" i="4"/>
  <c r="G39" i="4"/>
  <c r="F39" i="4"/>
  <c r="Q38" i="4"/>
  <c r="P38" i="4"/>
  <c r="O38" i="4"/>
  <c r="N38" i="4"/>
  <c r="M38" i="4"/>
  <c r="L38" i="4"/>
  <c r="K38" i="4"/>
  <c r="J38" i="4"/>
  <c r="I38" i="4"/>
  <c r="H38" i="4"/>
  <c r="G38" i="4"/>
  <c r="F38" i="4"/>
  <c r="Q37" i="4"/>
  <c r="P37" i="4"/>
  <c r="O37" i="4"/>
  <c r="N37" i="4"/>
  <c r="M37" i="4"/>
  <c r="L37" i="4"/>
  <c r="K37" i="4"/>
  <c r="J37" i="4"/>
  <c r="I37" i="4"/>
  <c r="H37" i="4"/>
  <c r="G37" i="4"/>
  <c r="F37" i="4"/>
  <c r="R37" i="4"/>
  <c r="S37" i="4"/>
  <c r="S36" i="4"/>
  <c r="Q36" i="4"/>
  <c r="P36" i="4"/>
  <c r="O36" i="4"/>
  <c r="N36" i="4"/>
  <c r="M36" i="4"/>
  <c r="L36" i="4"/>
  <c r="K36" i="4"/>
  <c r="J36" i="4"/>
  <c r="I36" i="4"/>
  <c r="H36" i="4"/>
  <c r="G36" i="4"/>
  <c r="F36" i="4"/>
  <c r="Q35" i="4"/>
  <c r="P35" i="4"/>
  <c r="O35" i="4"/>
  <c r="N35" i="4"/>
  <c r="M35" i="4"/>
  <c r="L35" i="4"/>
  <c r="K35" i="4"/>
  <c r="J35" i="4"/>
  <c r="I35" i="4"/>
  <c r="H35" i="4"/>
  <c r="G35" i="4"/>
  <c r="F35" i="4"/>
  <c r="R35" i="4"/>
  <c r="S35" i="4"/>
  <c r="Q34" i="4"/>
  <c r="P34" i="4"/>
  <c r="O34" i="4"/>
  <c r="N34" i="4"/>
  <c r="M34" i="4"/>
  <c r="L34" i="4"/>
  <c r="K34" i="4"/>
  <c r="J34" i="4"/>
  <c r="I34" i="4"/>
  <c r="H34" i="4"/>
  <c r="G34" i="4"/>
  <c r="F34" i="4"/>
  <c r="R34" i="4"/>
  <c r="S34" i="4"/>
  <c r="Q33" i="4"/>
  <c r="P33" i="4"/>
  <c r="O33" i="4"/>
  <c r="N33" i="4"/>
  <c r="M33" i="4"/>
  <c r="L33" i="4"/>
  <c r="K33" i="4"/>
  <c r="J33" i="4"/>
  <c r="I33" i="4"/>
  <c r="H33" i="4"/>
  <c r="G33" i="4"/>
  <c r="F33" i="4"/>
  <c r="R33" i="4"/>
  <c r="S33" i="4"/>
  <c r="Q32" i="4"/>
  <c r="P32" i="4"/>
  <c r="O32" i="4"/>
  <c r="N32" i="4"/>
  <c r="M32" i="4"/>
  <c r="L32" i="4"/>
  <c r="K32" i="4"/>
  <c r="J32" i="4"/>
  <c r="I32" i="4"/>
  <c r="H32" i="4"/>
  <c r="G32" i="4"/>
  <c r="F32" i="4"/>
  <c r="R32" i="4"/>
  <c r="S32" i="4"/>
  <c r="Q31" i="4"/>
  <c r="P31" i="4"/>
  <c r="O31" i="4"/>
  <c r="N31" i="4"/>
  <c r="M31" i="4"/>
  <c r="L31" i="4"/>
  <c r="K31" i="4"/>
  <c r="J31" i="4"/>
  <c r="I31" i="4"/>
  <c r="H31" i="4"/>
  <c r="G31" i="4"/>
  <c r="F31" i="4"/>
  <c r="R31" i="4"/>
  <c r="S31" i="4"/>
  <c r="Q30" i="4"/>
  <c r="P30" i="4"/>
  <c r="O30" i="4"/>
  <c r="N30" i="4"/>
  <c r="M30" i="4"/>
  <c r="L30" i="4"/>
  <c r="K30" i="4"/>
  <c r="J30" i="4"/>
  <c r="I30" i="4"/>
  <c r="H30" i="4"/>
  <c r="G30" i="4"/>
  <c r="F30" i="4"/>
  <c r="R30" i="4"/>
  <c r="S30" i="4"/>
  <c r="Q29" i="4"/>
  <c r="P29" i="4"/>
  <c r="O29" i="4"/>
  <c r="N29" i="4"/>
  <c r="M29" i="4"/>
  <c r="L29" i="4"/>
  <c r="K29" i="4"/>
  <c r="J29" i="4"/>
  <c r="I29" i="4"/>
  <c r="H29" i="4"/>
  <c r="G29" i="4"/>
  <c r="F29" i="4"/>
  <c r="R29" i="4"/>
  <c r="S29" i="4"/>
  <c r="Q28" i="4"/>
  <c r="P28" i="4"/>
  <c r="O28" i="4"/>
  <c r="N28" i="4"/>
  <c r="M28" i="4"/>
  <c r="L28" i="4"/>
  <c r="K28" i="4"/>
  <c r="J28" i="4"/>
  <c r="I28" i="4"/>
  <c r="H28" i="4"/>
  <c r="G28" i="4"/>
  <c r="F28" i="4"/>
  <c r="R28" i="4"/>
  <c r="S28" i="4"/>
  <c r="Q27" i="4"/>
  <c r="P27" i="4"/>
  <c r="O27" i="4"/>
  <c r="N27" i="4"/>
  <c r="M27" i="4"/>
  <c r="L27" i="4"/>
  <c r="K27" i="4"/>
  <c r="J27" i="4"/>
  <c r="I27" i="4"/>
  <c r="H27" i="4"/>
  <c r="G27" i="4"/>
  <c r="F27" i="4"/>
  <c r="R27" i="4"/>
  <c r="S27" i="4"/>
  <c r="Q26" i="4"/>
  <c r="P26" i="4"/>
  <c r="O26" i="4"/>
  <c r="N26" i="4"/>
  <c r="M26" i="4"/>
  <c r="L26" i="4"/>
  <c r="K26" i="4"/>
  <c r="J26" i="4"/>
  <c r="I26" i="4"/>
  <c r="H26" i="4"/>
  <c r="G26" i="4"/>
  <c r="F26" i="4"/>
  <c r="R26" i="4"/>
  <c r="S26" i="4"/>
  <c r="S25" i="4"/>
  <c r="Q25" i="4"/>
  <c r="P25" i="4"/>
  <c r="O25" i="4"/>
  <c r="N25" i="4"/>
  <c r="M25" i="4"/>
  <c r="L25" i="4"/>
  <c r="K25" i="4"/>
  <c r="J25" i="4"/>
  <c r="I25" i="4"/>
  <c r="H25" i="4"/>
  <c r="G25" i="4"/>
  <c r="F25" i="4"/>
  <c r="Q24" i="4"/>
  <c r="P24" i="4"/>
  <c r="O24" i="4"/>
  <c r="N24" i="4"/>
  <c r="M24" i="4"/>
  <c r="L24" i="4"/>
  <c r="K24" i="4"/>
  <c r="J24" i="4"/>
  <c r="I24" i="4"/>
  <c r="H24" i="4"/>
  <c r="G24" i="4"/>
  <c r="F24" i="4"/>
  <c r="R24" i="4"/>
  <c r="S24" i="4"/>
  <c r="Q23" i="4"/>
  <c r="P23" i="4"/>
  <c r="O23" i="4"/>
  <c r="N23" i="4"/>
  <c r="M23" i="4"/>
  <c r="L23" i="4"/>
  <c r="K23" i="4"/>
  <c r="J23" i="4"/>
  <c r="I23" i="4"/>
  <c r="H23" i="4"/>
  <c r="G23" i="4"/>
  <c r="F23" i="4"/>
  <c r="R23" i="4"/>
  <c r="S23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Q21" i="4"/>
  <c r="P21" i="4"/>
  <c r="O21" i="4"/>
  <c r="N21" i="4"/>
  <c r="M21" i="4"/>
  <c r="L21" i="4"/>
  <c r="K21" i="4"/>
  <c r="J21" i="4"/>
  <c r="I21" i="4"/>
  <c r="H21" i="4"/>
  <c r="G21" i="4"/>
  <c r="F21" i="4"/>
  <c r="R21" i="4"/>
  <c r="S21" i="4"/>
  <c r="Q20" i="4"/>
  <c r="P20" i="4"/>
  <c r="O20" i="4"/>
  <c r="N20" i="4"/>
  <c r="M20" i="4"/>
  <c r="L20" i="4"/>
  <c r="K20" i="4"/>
  <c r="J20" i="4"/>
  <c r="I20" i="4"/>
  <c r="H20" i="4"/>
  <c r="G20" i="4"/>
  <c r="F20" i="4"/>
  <c r="R20" i="4"/>
  <c r="S20" i="4"/>
  <c r="Q19" i="4"/>
  <c r="P19" i="4"/>
  <c r="O19" i="4"/>
  <c r="N19" i="4"/>
  <c r="M19" i="4"/>
  <c r="L19" i="4"/>
  <c r="K19" i="4"/>
  <c r="J19" i="4"/>
  <c r="I19" i="4"/>
  <c r="H19" i="4"/>
  <c r="G19" i="4"/>
  <c r="F19" i="4"/>
  <c r="R19" i="4"/>
  <c r="S19" i="4"/>
  <c r="Q18" i="4"/>
  <c r="P18" i="4"/>
  <c r="O18" i="4"/>
  <c r="N18" i="4"/>
  <c r="M18" i="4"/>
  <c r="L18" i="4"/>
  <c r="K18" i="4"/>
  <c r="J18" i="4"/>
  <c r="I18" i="4"/>
  <c r="H18" i="4"/>
  <c r="G18" i="4"/>
  <c r="F18" i="4"/>
  <c r="R18" i="4"/>
  <c r="S18" i="4"/>
  <c r="Q17" i="4"/>
  <c r="P17" i="4"/>
  <c r="O17" i="4"/>
  <c r="N17" i="4"/>
  <c r="M17" i="4"/>
  <c r="L17" i="4"/>
  <c r="K17" i="4"/>
  <c r="J17" i="4"/>
  <c r="I17" i="4"/>
  <c r="H17" i="4"/>
  <c r="G17" i="4"/>
  <c r="F17" i="4"/>
  <c r="R17" i="4"/>
  <c r="S17" i="4"/>
  <c r="Q16" i="4"/>
  <c r="P16" i="4"/>
  <c r="O16" i="4"/>
  <c r="N16" i="4"/>
  <c r="M16" i="4"/>
  <c r="L16" i="4"/>
  <c r="K16" i="4"/>
  <c r="J16" i="4"/>
  <c r="I16" i="4"/>
  <c r="H16" i="4"/>
  <c r="G16" i="4"/>
  <c r="F16" i="4"/>
  <c r="R16" i="4"/>
  <c r="S16" i="4"/>
  <c r="Q15" i="4"/>
  <c r="P15" i="4"/>
  <c r="O15" i="4"/>
  <c r="N15" i="4"/>
  <c r="M15" i="4"/>
  <c r="L15" i="4"/>
  <c r="K15" i="4"/>
  <c r="J15" i="4"/>
  <c r="I15" i="4"/>
  <c r="H15" i="4"/>
  <c r="G15" i="4"/>
  <c r="F15" i="4"/>
  <c r="R15" i="4"/>
  <c r="S15" i="4"/>
  <c r="Q14" i="4"/>
  <c r="P14" i="4"/>
  <c r="O14" i="4"/>
  <c r="N14" i="4"/>
  <c r="M14" i="4"/>
  <c r="L14" i="4"/>
  <c r="K14" i="4"/>
  <c r="J14" i="4"/>
  <c r="I14" i="4"/>
  <c r="H14" i="4"/>
  <c r="G14" i="4"/>
  <c r="F14" i="4"/>
  <c r="R14" i="4"/>
  <c r="S14" i="4"/>
  <c r="Q13" i="4"/>
  <c r="P13" i="4"/>
  <c r="O13" i="4"/>
  <c r="N13" i="4"/>
  <c r="M13" i="4"/>
  <c r="L13" i="4"/>
  <c r="K13" i="4"/>
  <c r="J13" i="4"/>
  <c r="I13" i="4"/>
  <c r="H13" i="4"/>
  <c r="G13" i="4"/>
  <c r="F13" i="4"/>
  <c r="R13" i="4"/>
  <c r="S13" i="4"/>
  <c r="Q12" i="4"/>
  <c r="P12" i="4"/>
  <c r="O12" i="4"/>
  <c r="N12" i="4"/>
  <c r="M12" i="4"/>
  <c r="L12" i="4"/>
  <c r="K12" i="4"/>
  <c r="J12" i="4"/>
  <c r="I12" i="4"/>
  <c r="H12" i="4"/>
  <c r="G12" i="4"/>
  <c r="F12" i="4"/>
  <c r="R12" i="4"/>
  <c r="S12" i="4"/>
  <c r="Q11" i="4"/>
  <c r="P11" i="4"/>
  <c r="O11" i="4"/>
  <c r="N11" i="4"/>
  <c r="M11" i="4"/>
  <c r="L11" i="4"/>
  <c r="K11" i="4"/>
  <c r="J11" i="4"/>
  <c r="I11" i="4"/>
  <c r="H11" i="4"/>
  <c r="G11" i="4"/>
  <c r="F11" i="4"/>
  <c r="R11" i="4"/>
  <c r="S11" i="4"/>
  <c r="Q10" i="4"/>
  <c r="P10" i="4"/>
  <c r="O10" i="4"/>
  <c r="N10" i="4"/>
  <c r="M10" i="4"/>
  <c r="L10" i="4"/>
  <c r="K10" i="4"/>
  <c r="J10" i="4"/>
  <c r="I10" i="4"/>
  <c r="H10" i="4"/>
  <c r="G10" i="4"/>
  <c r="F10" i="4"/>
  <c r="R10" i="4"/>
  <c r="S10" i="4"/>
  <c r="Q9" i="4"/>
  <c r="P9" i="4"/>
  <c r="O9" i="4"/>
  <c r="N9" i="4"/>
  <c r="M9" i="4"/>
  <c r="L9" i="4"/>
  <c r="K9" i="4"/>
  <c r="J9" i="4"/>
  <c r="I9" i="4"/>
  <c r="H9" i="4"/>
  <c r="G9" i="4"/>
  <c r="F9" i="4"/>
  <c r="R9" i="4"/>
  <c r="S9" i="4"/>
  <c r="Q8" i="4"/>
  <c r="P8" i="4"/>
  <c r="O8" i="4"/>
  <c r="N8" i="4"/>
  <c r="M8" i="4"/>
  <c r="L8" i="4"/>
  <c r="K8" i="4"/>
  <c r="J8" i="4"/>
  <c r="I8" i="4"/>
  <c r="H8" i="4"/>
  <c r="G8" i="4"/>
  <c r="F8" i="4"/>
  <c r="R8" i="4"/>
  <c r="S8" i="4"/>
  <c r="Q7" i="4"/>
  <c r="P7" i="4"/>
  <c r="O7" i="4"/>
  <c r="N7" i="4"/>
  <c r="M7" i="4"/>
  <c r="L7" i="4"/>
  <c r="K7" i="4"/>
  <c r="J7" i="4"/>
  <c r="I7" i="4"/>
  <c r="H7" i="4"/>
  <c r="G7" i="4"/>
  <c r="F7" i="4"/>
  <c r="R7" i="4"/>
  <c r="S7" i="4"/>
  <c r="Q6" i="4"/>
  <c r="P6" i="4"/>
  <c r="O6" i="4"/>
  <c r="N6" i="4"/>
  <c r="M6" i="4"/>
  <c r="K6" i="4"/>
  <c r="J6" i="4"/>
  <c r="I6" i="4"/>
  <c r="H6" i="4"/>
  <c r="R6" i="4"/>
  <c r="S6" i="4"/>
  <c r="R5" i="4"/>
  <c r="S5" i="4"/>
  <c r="Q5" i="4"/>
  <c r="P5" i="4"/>
  <c r="O5" i="4"/>
  <c r="N5" i="4"/>
  <c r="M5" i="4"/>
  <c r="L5" i="4"/>
  <c r="K5" i="4"/>
  <c r="J5" i="4"/>
  <c r="I5" i="4"/>
  <c r="H5" i="4"/>
  <c r="G5" i="4"/>
  <c r="F5" i="4"/>
  <c r="Q4" i="4"/>
  <c r="Q99" i="4"/>
  <c r="P4" i="4"/>
  <c r="P99" i="4"/>
  <c r="O4" i="4"/>
  <c r="O99" i="4"/>
  <c r="N4" i="4"/>
  <c r="N99" i="4"/>
  <c r="M4" i="4"/>
  <c r="M99" i="4"/>
  <c r="L4" i="4"/>
  <c r="L99" i="4"/>
  <c r="K4" i="4"/>
  <c r="K99" i="4"/>
  <c r="J4" i="4"/>
  <c r="J99" i="4"/>
  <c r="I4" i="4"/>
  <c r="I99" i="4"/>
  <c r="H4" i="4"/>
  <c r="H99" i="4"/>
  <c r="G4" i="4"/>
  <c r="G99" i="4"/>
  <c r="F4" i="4"/>
  <c r="D2" i="3"/>
  <c r="E2" i="3"/>
  <c r="F2" i="3"/>
  <c r="G2" i="3"/>
  <c r="H2" i="3"/>
  <c r="I2" i="3"/>
  <c r="J2" i="3"/>
  <c r="K2" i="3"/>
  <c r="L2" i="3"/>
  <c r="M2" i="3"/>
  <c r="N2" i="3"/>
  <c r="O2" i="3"/>
  <c r="D25" i="3"/>
  <c r="E25" i="3"/>
  <c r="F25" i="3"/>
  <c r="G25" i="3"/>
  <c r="H25" i="3"/>
  <c r="I25" i="3"/>
  <c r="J25" i="3"/>
  <c r="K25" i="3"/>
  <c r="L25" i="3"/>
  <c r="M25" i="3"/>
  <c r="N25" i="3"/>
  <c r="O25" i="3"/>
  <c r="F29" i="3"/>
  <c r="G29" i="3"/>
  <c r="H29" i="3"/>
  <c r="I29" i="3"/>
  <c r="K29" i="3"/>
  <c r="L29" i="3"/>
  <c r="M29" i="3"/>
  <c r="N29" i="3"/>
  <c r="O29" i="3"/>
  <c r="D30" i="3"/>
  <c r="E30" i="3"/>
  <c r="F30" i="3"/>
  <c r="G30" i="3"/>
  <c r="H30" i="3"/>
  <c r="I30" i="3"/>
  <c r="J30" i="3"/>
  <c r="K30" i="3"/>
  <c r="L30" i="3"/>
  <c r="M30" i="3"/>
  <c r="N30" i="3"/>
  <c r="O30" i="3"/>
  <c r="D31" i="3"/>
  <c r="E31" i="3"/>
  <c r="F31" i="3"/>
  <c r="G31" i="3"/>
  <c r="H31" i="3"/>
  <c r="I31" i="3"/>
  <c r="J31" i="3"/>
  <c r="K31" i="3"/>
  <c r="L31" i="3"/>
  <c r="M31" i="3"/>
  <c r="N31" i="3"/>
  <c r="O31" i="3"/>
  <c r="D32" i="3"/>
  <c r="E32" i="3"/>
  <c r="F32" i="3"/>
  <c r="G32" i="3"/>
  <c r="H32" i="3"/>
  <c r="I32" i="3"/>
  <c r="J32" i="3"/>
  <c r="K32" i="3"/>
  <c r="L32" i="3"/>
  <c r="M32" i="3"/>
  <c r="N32" i="3"/>
  <c r="O32" i="3"/>
  <c r="D33" i="3"/>
  <c r="E33" i="3"/>
  <c r="F33" i="3"/>
  <c r="G33" i="3"/>
  <c r="H33" i="3"/>
  <c r="I33" i="3"/>
  <c r="J33" i="3"/>
  <c r="K33" i="3"/>
  <c r="L33" i="3"/>
  <c r="M33" i="3"/>
  <c r="N33" i="3"/>
  <c r="O33" i="3"/>
  <c r="D34" i="3"/>
  <c r="E34" i="3"/>
  <c r="F34" i="3"/>
  <c r="G34" i="3"/>
  <c r="H34" i="3"/>
  <c r="I34" i="3"/>
  <c r="J34" i="3"/>
  <c r="K34" i="3"/>
  <c r="L34" i="3"/>
  <c r="M34" i="3"/>
  <c r="N34" i="3"/>
  <c r="O34" i="3"/>
  <c r="D35" i="3"/>
  <c r="E35" i="3"/>
  <c r="F35" i="3"/>
  <c r="G35" i="3"/>
  <c r="H35" i="3"/>
  <c r="I35" i="3"/>
  <c r="J35" i="3"/>
  <c r="K35" i="3"/>
  <c r="L35" i="3"/>
  <c r="M35" i="3"/>
  <c r="N35" i="3"/>
  <c r="O35" i="3"/>
  <c r="D36" i="3"/>
  <c r="E36" i="3"/>
  <c r="F36" i="3"/>
  <c r="G36" i="3"/>
  <c r="H36" i="3"/>
  <c r="I36" i="3"/>
  <c r="J36" i="3"/>
  <c r="K36" i="3"/>
  <c r="L36" i="3"/>
  <c r="M36" i="3"/>
  <c r="N36" i="3"/>
  <c r="O36" i="3"/>
  <c r="D37" i="3"/>
  <c r="E37" i="3"/>
  <c r="F37" i="3"/>
  <c r="G37" i="3"/>
  <c r="H37" i="3"/>
  <c r="I37" i="3"/>
  <c r="J37" i="3"/>
  <c r="K37" i="3"/>
  <c r="L37" i="3"/>
  <c r="M37" i="3"/>
  <c r="N37" i="3"/>
  <c r="O37" i="3"/>
  <c r="D38" i="3"/>
  <c r="E38" i="3"/>
  <c r="F38" i="3"/>
  <c r="G38" i="3"/>
  <c r="H38" i="3"/>
  <c r="I38" i="3"/>
  <c r="J38" i="3"/>
  <c r="K38" i="3"/>
  <c r="L38" i="3"/>
  <c r="M38" i="3"/>
  <c r="N38" i="3"/>
  <c r="O38" i="3"/>
  <c r="D39" i="3"/>
  <c r="E39" i="3"/>
  <c r="F39" i="3"/>
  <c r="G39" i="3"/>
  <c r="H39" i="3"/>
  <c r="I39" i="3"/>
  <c r="J39" i="3"/>
  <c r="K39" i="3"/>
  <c r="L39" i="3"/>
  <c r="M39" i="3"/>
  <c r="N39" i="3"/>
  <c r="O39" i="3"/>
  <c r="D40" i="3"/>
  <c r="E40" i="3"/>
  <c r="F40" i="3"/>
  <c r="G40" i="3"/>
  <c r="H40" i="3"/>
  <c r="I40" i="3"/>
  <c r="J40" i="3"/>
  <c r="K40" i="3"/>
  <c r="L40" i="3"/>
  <c r="M40" i="3"/>
  <c r="N40" i="3"/>
  <c r="O40" i="3"/>
  <c r="D41" i="3"/>
  <c r="E41" i="3"/>
  <c r="F41" i="3"/>
  <c r="G41" i="3"/>
  <c r="H41" i="3"/>
  <c r="I41" i="3"/>
  <c r="J41" i="3"/>
  <c r="K41" i="3"/>
  <c r="L41" i="3"/>
  <c r="M41" i="3"/>
  <c r="N41" i="3"/>
  <c r="O41" i="3"/>
  <c r="D42" i="3"/>
  <c r="E42" i="3"/>
  <c r="F42" i="3"/>
  <c r="G42" i="3"/>
  <c r="H42" i="3"/>
  <c r="I42" i="3"/>
  <c r="J42" i="3"/>
  <c r="K42" i="3"/>
  <c r="L42" i="3"/>
  <c r="M42" i="3"/>
  <c r="N42" i="3"/>
  <c r="O42" i="3"/>
  <c r="D43" i="3"/>
  <c r="E43" i="3"/>
  <c r="F43" i="3"/>
  <c r="G43" i="3"/>
  <c r="H43" i="3"/>
  <c r="I43" i="3"/>
  <c r="J43" i="3"/>
  <c r="K43" i="3"/>
  <c r="L43" i="3"/>
  <c r="M43" i="3"/>
  <c r="N43" i="3"/>
  <c r="O43" i="3"/>
  <c r="D44" i="3"/>
  <c r="E44" i="3"/>
  <c r="F44" i="3"/>
  <c r="G44" i="3"/>
  <c r="H44" i="3"/>
  <c r="I44" i="3"/>
  <c r="J44" i="3"/>
  <c r="K44" i="3"/>
  <c r="L44" i="3"/>
  <c r="M44" i="3"/>
  <c r="N44" i="3"/>
  <c r="O44" i="3"/>
  <c r="D46" i="3"/>
  <c r="E46" i="3"/>
  <c r="F46" i="3"/>
  <c r="G46" i="3"/>
  <c r="H46" i="3"/>
  <c r="I46" i="3"/>
  <c r="J46" i="3"/>
  <c r="K46" i="3"/>
  <c r="L46" i="3"/>
  <c r="M46" i="3"/>
  <c r="N46" i="3"/>
  <c r="O46" i="3"/>
  <c r="D47" i="3"/>
  <c r="E47" i="3"/>
  <c r="F47" i="3"/>
  <c r="G47" i="3"/>
  <c r="H47" i="3"/>
  <c r="I47" i="3"/>
  <c r="J47" i="3"/>
  <c r="K47" i="3"/>
  <c r="L47" i="3"/>
  <c r="M47" i="3"/>
  <c r="N47" i="3"/>
  <c r="O47" i="3"/>
  <c r="D48" i="3"/>
  <c r="E48" i="3"/>
  <c r="F48" i="3"/>
  <c r="G48" i="3"/>
  <c r="H48" i="3"/>
  <c r="I48" i="3"/>
  <c r="J48" i="3"/>
  <c r="K48" i="3"/>
  <c r="L48" i="3"/>
  <c r="M48" i="3"/>
  <c r="N48" i="3"/>
  <c r="O48" i="3"/>
  <c r="D49" i="3"/>
  <c r="E49" i="3"/>
  <c r="F49" i="3"/>
  <c r="G49" i="3"/>
  <c r="H49" i="3"/>
  <c r="I49" i="3"/>
  <c r="J49" i="3"/>
  <c r="K49" i="3"/>
  <c r="L49" i="3"/>
  <c r="M49" i="3"/>
  <c r="N49" i="3"/>
  <c r="O49" i="3"/>
  <c r="D50" i="3"/>
  <c r="E50" i="3"/>
  <c r="F50" i="3"/>
  <c r="G50" i="3"/>
  <c r="H50" i="3"/>
  <c r="I50" i="3"/>
  <c r="J50" i="3"/>
  <c r="K50" i="3"/>
  <c r="L50" i="3"/>
  <c r="M50" i="3"/>
  <c r="N50" i="3"/>
  <c r="O50" i="3"/>
  <c r="D51" i="3"/>
  <c r="E51" i="3"/>
  <c r="F51" i="3"/>
  <c r="G51" i="3"/>
  <c r="H51" i="3"/>
  <c r="I51" i="3"/>
  <c r="J51" i="3"/>
  <c r="K51" i="3"/>
  <c r="L51" i="3"/>
  <c r="M51" i="3"/>
  <c r="N51" i="3"/>
  <c r="O51" i="3"/>
  <c r="D52" i="3"/>
  <c r="E52" i="3"/>
  <c r="F52" i="3"/>
  <c r="G52" i="3"/>
  <c r="H52" i="3"/>
  <c r="I52" i="3"/>
  <c r="J52" i="3"/>
  <c r="K52" i="3"/>
  <c r="L52" i="3"/>
  <c r="M52" i="3"/>
  <c r="N52" i="3"/>
  <c r="O52" i="3"/>
  <c r="D53" i="3"/>
  <c r="E53" i="3"/>
  <c r="F53" i="3"/>
  <c r="G53" i="3"/>
  <c r="H53" i="3"/>
  <c r="I53" i="3"/>
  <c r="J53" i="3"/>
  <c r="K53" i="3"/>
  <c r="L53" i="3"/>
  <c r="M53" i="3"/>
  <c r="N53" i="3"/>
  <c r="O53" i="3"/>
  <c r="D54" i="3"/>
  <c r="E54" i="3"/>
  <c r="F54" i="3"/>
  <c r="G54" i="3"/>
  <c r="H54" i="3"/>
  <c r="I54" i="3"/>
  <c r="J54" i="3"/>
  <c r="K54" i="3"/>
  <c r="L54" i="3"/>
  <c r="M54" i="3"/>
  <c r="N54" i="3"/>
  <c r="O54" i="3"/>
  <c r="D55" i="3"/>
  <c r="E55" i="3"/>
  <c r="F55" i="3"/>
  <c r="G55" i="3"/>
  <c r="H55" i="3"/>
  <c r="I55" i="3"/>
  <c r="J55" i="3"/>
  <c r="K55" i="3"/>
  <c r="L55" i="3"/>
  <c r="M55" i="3"/>
  <c r="N55" i="3"/>
  <c r="O55" i="3"/>
  <c r="D56" i="3"/>
  <c r="E56" i="3"/>
  <c r="F56" i="3"/>
  <c r="G56" i="3"/>
  <c r="H56" i="3"/>
  <c r="I56" i="3"/>
  <c r="J56" i="3"/>
  <c r="K56" i="3"/>
  <c r="L56" i="3"/>
  <c r="M56" i="3"/>
  <c r="N56" i="3"/>
  <c r="O56" i="3"/>
  <c r="D57" i="3"/>
  <c r="E57" i="3"/>
  <c r="F57" i="3"/>
  <c r="G57" i="3"/>
  <c r="H57" i="3"/>
  <c r="I57" i="3"/>
  <c r="J57" i="3"/>
  <c r="K57" i="3"/>
  <c r="L57" i="3"/>
  <c r="M57" i="3"/>
  <c r="N57" i="3"/>
  <c r="O57" i="3"/>
  <c r="D58" i="3"/>
  <c r="E58" i="3"/>
  <c r="F58" i="3"/>
  <c r="G58" i="3"/>
  <c r="H58" i="3"/>
  <c r="I58" i="3"/>
  <c r="J58" i="3"/>
  <c r="K58" i="3"/>
  <c r="L58" i="3"/>
  <c r="M58" i="3"/>
  <c r="N58" i="3"/>
  <c r="O58" i="3"/>
  <c r="D59" i="3"/>
  <c r="E59" i="3"/>
  <c r="F59" i="3"/>
  <c r="G59" i="3"/>
  <c r="H59" i="3"/>
  <c r="I59" i="3"/>
  <c r="J59" i="3"/>
  <c r="K59" i="3"/>
  <c r="L59" i="3"/>
  <c r="M59" i="3"/>
  <c r="N59" i="3"/>
  <c r="O59" i="3"/>
  <c r="D60" i="3"/>
  <c r="E60" i="3"/>
  <c r="F60" i="3"/>
  <c r="G60" i="3"/>
  <c r="H60" i="3"/>
  <c r="I60" i="3"/>
  <c r="J60" i="3"/>
  <c r="K60" i="3"/>
  <c r="L60" i="3"/>
  <c r="M60" i="3"/>
  <c r="N60" i="3"/>
  <c r="O60" i="3"/>
  <c r="D63" i="3"/>
  <c r="E63" i="3"/>
  <c r="F63" i="3"/>
  <c r="G63" i="3"/>
  <c r="H63" i="3"/>
  <c r="I63" i="3"/>
  <c r="J63" i="3"/>
  <c r="K63" i="3"/>
  <c r="L63" i="3"/>
  <c r="M63" i="3"/>
  <c r="N63" i="3"/>
  <c r="O63" i="3"/>
  <c r="D64" i="3"/>
  <c r="E64" i="3"/>
  <c r="F64" i="3"/>
  <c r="G64" i="3"/>
  <c r="H64" i="3"/>
  <c r="I64" i="3"/>
  <c r="J64" i="3"/>
  <c r="K64" i="3"/>
  <c r="L64" i="3"/>
  <c r="M64" i="3"/>
  <c r="N64" i="3"/>
  <c r="O64" i="3"/>
  <c r="D65" i="3"/>
  <c r="E65" i="3"/>
  <c r="F65" i="3"/>
  <c r="G65" i="3"/>
  <c r="H65" i="3"/>
  <c r="I65" i="3"/>
  <c r="J65" i="3"/>
  <c r="K65" i="3"/>
  <c r="L65" i="3"/>
  <c r="M65" i="3"/>
  <c r="N65" i="3"/>
  <c r="O65" i="3"/>
  <c r="D66" i="3"/>
  <c r="E66" i="3"/>
  <c r="F66" i="3"/>
  <c r="G66" i="3"/>
  <c r="H66" i="3"/>
  <c r="I66" i="3"/>
  <c r="J66" i="3"/>
  <c r="K66" i="3"/>
  <c r="L66" i="3"/>
  <c r="M66" i="3"/>
  <c r="N66" i="3"/>
  <c r="O66" i="3"/>
  <c r="D67" i="3"/>
  <c r="E67" i="3"/>
  <c r="F67" i="3"/>
  <c r="G67" i="3"/>
  <c r="H67" i="3"/>
  <c r="I67" i="3"/>
  <c r="J67" i="3"/>
  <c r="K67" i="3"/>
  <c r="L67" i="3"/>
  <c r="M67" i="3"/>
  <c r="N67" i="3"/>
  <c r="O67" i="3"/>
  <c r="D68" i="3"/>
  <c r="E68" i="3"/>
  <c r="F68" i="3"/>
  <c r="G68" i="3"/>
  <c r="H68" i="3"/>
  <c r="I68" i="3"/>
  <c r="J68" i="3"/>
  <c r="K68" i="3"/>
  <c r="L68" i="3"/>
  <c r="M68" i="3"/>
  <c r="N68" i="3"/>
  <c r="O68" i="3"/>
  <c r="D69" i="3"/>
  <c r="E69" i="3"/>
  <c r="F69" i="3"/>
  <c r="G69" i="3"/>
  <c r="H69" i="3"/>
  <c r="I69" i="3"/>
  <c r="J69" i="3"/>
  <c r="K69" i="3"/>
  <c r="L69" i="3"/>
  <c r="M69" i="3"/>
  <c r="N69" i="3"/>
  <c r="O69" i="3"/>
  <c r="D70" i="3"/>
  <c r="E70" i="3"/>
  <c r="F70" i="3"/>
  <c r="G70" i="3"/>
  <c r="H70" i="3"/>
  <c r="I70" i="3"/>
  <c r="J70" i="3"/>
  <c r="K70" i="3"/>
  <c r="L70" i="3"/>
  <c r="M70" i="3"/>
  <c r="N70" i="3"/>
  <c r="O70" i="3"/>
  <c r="D71" i="3"/>
  <c r="E71" i="3"/>
  <c r="F71" i="3"/>
  <c r="G71" i="3"/>
  <c r="H71" i="3"/>
  <c r="I71" i="3"/>
  <c r="J71" i="3"/>
  <c r="K71" i="3"/>
  <c r="L71" i="3"/>
  <c r="M71" i="3"/>
  <c r="N71" i="3"/>
  <c r="O71" i="3"/>
  <c r="D72" i="3"/>
  <c r="E72" i="3"/>
  <c r="F72" i="3"/>
  <c r="G72" i="3"/>
  <c r="H72" i="3"/>
  <c r="I72" i="3"/>
  <c r="J72" i="3"/>
  <c r="K72" i="3"/>
  <c r="L72" i="3"/>
  <c r="M72" i="3"/>
  <c r="N72" i="3"/>
  <c r="O72" i="3"/>
  <c r="D80" i="3"/>
  <c r="E80" i="3"/>
  <c r="F80" i="3"/>
  <c r="G80" i="3"/>
  <c r="H80" i="3"/>
  <c r="I80" i="3"/>
  <c r="J80" i="3"/>
  <c r="K80" i="3"/>
  <c r="L80" i="3"/>
  <c r="M80" i="3"/>
  <c r="N80" i="3"/>
  <c r="O80" i="3"/>
  <c r="D81" i="3"/>
  <c r="E81" i="3"/>
  <c r="F81" i="3"/>
  <c r="G81" i="3"/>
  <c r="H81" i="3"/>
  <c r="I81" i="3"/>
  <c r="J81" i="3"/>
  <c r="K81" i="3"/>
  <c r="L81" i="3"/>
  <c r="M81" i="3"/>
  <c r="N81" i="3"/>
  <c r="O81" i="3"/>
  <c r="D82" i="3"/>
  <c r="E82" i="3"/>
  <c r="F82" i="3"/>
  <c r="G82" i="3"/>
  <c r="H82" i="3"/>
  <c r="I82" i="3"/>
  <c r="J82" i="3"/>
  <c r="K82" i="3"/>
  <c r="L82" i="3"/>
  <c r="M82" i="3"/>
  <c r="N82" i="3"/>
  <c r="O82" i="3"/>
  <c r="D83" i="3"/>
  <c r="E83" i="3"/>
  <c r="F83" i="3"/>
  <c r="G83" i="3"/>
  <c r="H83" i="3"/>
  <c r="I83" i="3"/>
  <c r="J83" i="3"/>
  <c r="K83" i="3"/>
  <c r="L83" i="3"/>
  <c r="M83" i="3"/>
  <c r="N83" i="3"/>
  <c r="O83" i="3"/>
  <c r="D84" i="3"/>
  <c r="E84" i="3"/>
  <c r="F84" i="3"/>
  <c r="G84" i="3"/>
  <c r="H84" i="3"/>
  <c r="I84" i="3"/>
  <c r="J84" i="3"/>
  <c r="K84" i="3"/>
  <c r="L84" i="3"/>
  <c r="M84" i="3"/>
  <c r="N84" i="3"/>
  <c r="O84" i="3"/>
  <c r="D85" i="3"/>
  <c r="E85" i="3"/>
  <c r="F85" i="3"/>
  <c r="G85" i="3"/>
  <c r="H85" i="3"/>
  <c r="I85" i="3"/>
  <c r="J85" i="3"/>
  <c r="K85" i="3"/>
  <c r="L85" i="3"/>
  <c r="M85" i="3"/>
  <c r="N85" i="3"/>
  <c r="O85" i="3"/>
  <c r="D86" i="3"/>
  <c r="E86" i="3"/>
  <c r="F86" i="3"/>
  <c r="G86" i="3"/>
  <c r="H86" i="3"/>
  <c r="I86" i="3"/>
  <c r="J86" i="3"/>
  <c r="K86" i="3"/>
  <c r="L86" i="3"/>
  <c r="M86" i="3"/>
  <c r="N86" i="3"/>
  <c r="O86" i="3"/>
  <c r="D87" i="3"/>
  <c r="E87" i="3"/>
  <c r="F87" i="3"/>
  <c r="G87" i="3"/>
  <c r="H87" i="3"/>
  <c r="I87" i="3"/>
  <c r="J87" i="3"/>
  <c r="K87" i="3"/>
  <c r="L87" i="3"/>
  <c r="M87" i="3"/>
  <c r="N87" i="3"/>
  <c r="O87" i="3"/>
  <c r="D88" i="3"/>
  <c r="E88" i="3"/>
  <c r="F88" i="3"/>
  <c r="G88" i="3"/>
  <c r="H88" i="3"/>
  <c r="I88" i="3"/>
  <c r="J88" i="3"/>
  <c r="K88" i="3"/>
  <c r="L88" i="3"/>
  <c r="M88" i="3"/>
  <c r="N88" i="3"/>
  <c r="O88" i="3"/>
  <c r="D89" i="3"/>
  <c r="E89" i="3"/>
  <c r="F89" i="3"/>
  <c r="G89" i="3"/>
  <c r="H89" i="3"/>
  <c r="I89" i="3"/>
  <c r="J89" i="3"/>
  <c r="K89" i="3"/>
  <c r="L89" i="3"/>
  <c r="M89" i="3"/>
  <c r="N89" i="3"/>
  <c r="O89" i="3"/>
  <c r="D90" i="3"/>
  <c r="E90" i="3"/>
  <c r="F90" i="3"/>
  <c r="G90" i="3"/>
  <c r="H90" i="3"/>
  <c r="I90" i="3"/>
  <c r="J90" i="3"/>
  <c r="K90" i="3"/>
  <c r="L90" i="3"/>
  <c r="M90" i="3"/>
  <c r="N90" i="3"/>
  <c r="O90" i="3"/>
  <c r="D91" i="3"/>
  <c r="E91" i="3"/>
  <c r="F91" i="3"/>
  <c r="G91" i="3"/>
  <c r="H91" i="3"/>
  <c r="I91" i="3"/>
  <c r="J91" i="3"/>
  <c r="K91" i="3"/>
  <c r="L91" i="3"/>
  <c r="M91" i="3"/>
  <c r="N91" i="3"/>
  <c r="O91" i="3"/>
  <c r="D93" i="3"/>
  <c r="E93" i="3"/>
  <c r="F93" i="3"/>
  <c r="G93" i="3"/>
  <c r="H93" i="3"/>
  <c r="I93" i="3"/>
  <c r="J93" i="3"/>
  <c r="K93" i="3"/>
  <c r="L93" i="3"/>
  <c r="M93" i="3"/>
  <c r="N93" i="3"/>
  <c r="O93" i="3"/>
  <c r="D94" i="3"/>
  <c r="E94" i="3"/>
  <c r="F94" i="3"/>
  <c r="G94" i="3"/>
  <c r="H94" i="3"/>
  <c r="I94" i="3"/>
  <c r="J94" i="3"/>
  <c r="K94" i="3"/>
  <c r="L94" i="3"/>
  <c r="M94" i="3"/>
  <c r="N94" i="3"/>
  <c r="O94" i="3"/>
  <c r="D95" i="3"/>
  <c r="E95" i="3"/>
  <c r="F95" i="3"/>
  <c r="G95" i="3"/>
  <c r="H95" i="3"/>
  <c r="I95" i="3"/>
  <c r="J95" i="3"/>
  <c r="K95" i="3"/>
  <c r="L95" i="3"/>
  <c r="M95" i="3"/>
  <c r="N95" i="3"/>
  <c r="O95" i="3"/>
  <c r="D97" i="3"/>
  <c r="E97" i="3"/>
  <c r="F97" i="3"/>
  <c r="G97" i="3"/>
  <c r="H97" i="3"/>
  <c r="I97" i="3"/>
  <c r="J97" i="3"/>
  <c r="K97" i="3"/>
  <c r="L97" i="3"/>
  <c r="M97" i="3"/>
  <c r="N97" i="3"/>
  <c r="O97" i="3"/>
  <c r="D98" i="3"/>
  <c r="E98" i="3"/>
  <c r="F98" i="3"/>
  <c r="G98" i="3"/>
  <c r="H98" i="3"/>
  <c r="I98" i="3"/>
  <c r="J98" i="3"/>
  <c r="K98" i="3"/>
  <c r="L98" i="3"/>
  <c r="M98" i="3"/>
  <c r="N98" i="3"/>
  <c r="O98" i="3"/>
  <c r="D99" i="3"/>
  <c r="E99" i="3"/>
  <c r="F99" i="3"/>
  <c r="G99" i="3"/>
  <c r="H99" i="3"/>
  <c r="I99" i="3"/>
  <c r="J99" i="3"/>
  <c r="K99" i="3"/>
  <c r="L99" i="3"/>
  <c r="M99" i="3"/>
  <c r="N99" i="3"/>
  <c r="O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T134" i="1"/>
  <c r="P123" i="3"/>
  <c r="Q123" i="3"/>
  <c r="P124" i="3"/>
  <c r="Q124" i="3"/>
  <c r="P125" i="3"/>
  <c r="Q125" i="3"/>
  <c r="P126" i="3"/>
  <c r="Q126" i="3"/>
  <c r="P127" i="3"/>
  <c r="Q127" i="3"/>
  <c r="P128" i="3"/>
  <c r="Q128" i="3"/>
  <c r="P129" i="3"/>
  <c r="Q129" i="3"/>
  <c r="P130" i="3"/>
  <c r="Q130" i="3"/>
  <c r="P131" i="3"/>
  <c r="Q131" i="3"/>
  <c r="P132" i="3"/>
  <c r="Q132" i="3"/>
  <c r="P133" i="3"/>
  <c r="Q133" i="3"/>
  <c r="P134" i="3"/>
  <c r="Q134" i="3"/>
  <c r="P135" i="3"/>
  <c r="Q135" i="3"/>
  <c r="P136" i="3"/>
  <c r="Q136" i="3"/>
  <c r="P137" i="3"/>
  <c r="Q137" i="3"/>
  <c r="P138" i="3"/>
  <c r="Q138" i="3"/>
  <c r="P139" i="3"/>
  <c r="Q139" i="3"/>
  <c r="P140" i="3"/>
  <c r="Q140" i="3"/>
  <c r="P141" i="3"/>
  <c r="Q141" i="3"/>
  <c r="Q73" i="3"/>
  <c r="Q74" i="3"/>
  <c r="Q75" i="3"/>
  <c r="Q76" i="3"/>
  <c r="Q77" i="3"/>
  <c r="Q78" i="3"/>
  <c r="U73" i="3"/>
  <c r="T64" i="3"/>
  <c r="T63" i="3"/>
  <c r="T65" i="3"/>
  <c r="U47" i="3"/>
  <c r="P46" i="3"/>
  <c r="P122" i="3"/>
  <c r="Q122" i="3"/>
  <c r="P121" i="3"/>
  <c r="Q121" i="3"/>
  <c r="P120" i="3"/>
  <c r="Q120" i="3"/>
  <c r="P119" i="3"/>
  <c r="Q119" i="3"/>
  <c r="P118" i="3"/>
  <c r="Q118" i="3"/>
  <c r="P117" i="3"/>
  <c r="Q117" i="3"/>
  <c r="P116" i="3"/>
  <c r="Q116" i="3"/>
  <c r="P115" i="3"/>
  <c r="Q115" i="3"/>
  <c r="P114" i="3"/>
  <c r="Q114" i="3"/>
  <c r="P113" i="3"/>
  <c r="Q112" i="3"/>
  <c r="P108" i="3"/>
  <c r="Q108" i="3"/>
  <c r="P107" i="3"/>
  <c r="Q107" i="3"/>
  <c r="P106" i="3"/>
  <c r="Q106" i="3"/>
  <c r="P105" i="3"/>
  <c r="Q105" i="3"/>
  <c r="P104" i="3"/>
  <c r="Q104" i="3"/>
  <c r="P103" i="3"/>
  <c r="P101" i="3"/>
  <c r="Q101" i="3"/>
  <c r="Q100" i="3"/>
  <c r="P99" i="3"/>
  <c r="Q99" i="3"/>
  <c r="P98" i="3"/>
  <c r="Q98" i="3"/>
  <c r="P97" i="3"/>
  <c r="P96" i="3"/>
  <c r="P95" i="3"/>
  <c r="Q95" i="3"/>
  <c r="Q94" i="3"/>
  <c r="P93" i="3"/>
  <c r="P92" i="3"/>
  <c r="P91" i="3"/>
  <c r="Q91" i="3"/>
  <c r="P90" i="3"/>
  <c r="Q90" i="3"/>
  <c r="P89" i="3"/>
  <c r="Q89" i="3"/>
  <c r="P88" i="3"/>
  <c r="Q88" i="3"/>
  <c r="Q87" i="3"/>
  <c r="P86" i="3"/>
  <c r="Q86" i="3"/>
  <c r="P85" i="3"/>
  <c r="Q85" i="3"/>
  <c r="Q84" i="3"/>
  <c r="P83" i="3"/>
  <c r="Q83" i="3"/>
  <c r="P82" i="3"/>
  <c r="Q82" i="3"/>
  <c r="P81" i="3"/>
  <c r="Q81" i="3"/>
  <c r="P80" i="3"/>
  <c r="P79" i="3"/>
  <c r="P72" i="3"/>
  <c r="Q72" i="3"/>
  <c r="Q71" i="3"/>
  <c r="Q70" i="3"/>
  <c r="P69" i="3"/>
  <c r="Q69" i="3"/>
  <c r="P68" i="3"/>
  <c r="Q68" i="3"/>
  <c r="Q63" i="3"/>
  <c r="P60" i="3"/>
  <c r="Q60" i="3"/>
  <c r="Q59" i="3"/>
  <c r="P57" i="3"/>
  <c r="Q57" i="3"/>
  <c r="P55" i="3"/>
  <c r="Q55" i="3"/>
  <c r="P54" i="3"/>
  <c r="Q54" i="3"/>
  <c r="P52" i="3"/>
  <c r="Q52" i="3"/>
  <c r="P50" i="3"/>
  <c r="Q50" i="3"/>
  <c r="Q48" i="3"/>
  <c r="Q46" i="3"/>
  <c r="P44" i="3"/>
  <c r="Q44" i="3"/>
  <c r="P43" i="3"/>
  <c r="Q43" i="3"/>
  <c r="P42" i="3"/>
  <c r="Q42" i="3"/>
  <c r="P41" i="3"/>
  <c r="Q41" i="3"/>
  <c r="P40" i="3"/>
  <c r="Q40" i="3"/>
  <c r="P39" i="3"/>
  <c r="Q39" i="3"/>
  <c r="P38" i="3"/>
  <c r="Q38" i="3"/>
  <c r="P37" i="3"/>
  <c r="Q37" i="3"/>
  <c r="P36" i="3"/>
  <c r="Q36" i="3"/>
  <c r="P35" i="3"/>
  <c r="Q35" i="3"/>
  <c r="P34" i="3"/>
  <c r="Q34" i="3"/>
  <c r="P33" i="3"/>
  <c r="Q33" i="3"/>
  <c r="P32" i="3"/>
  <c r="Q32" i="3"/>
  <c r="P31" i="3"/>
  <c r="Q31" i="3"/>
  <c r="P30" i="3"/>
  <c r="Q30" i="3"/>
  <c r="P29" i="3"/>
  <c r="P28" i="3"/>
  <c r="P24" i="3"/>
  <c r="Q24" i="3"/>
  <c r="P23" i="3"/>
  <c r="Q23" i="3"/>
  <c r="P22" i="3"/>
  <c r="Q22" i="3"/>
  <c r="P21" i="3"/>
  <c r="Q21" i="3"/>
  <c r="P20" i="3"/>
  <c r="Q20" i="3"/>
  <c r="P19" i="3"/>
  <c r="Q19" i="3"/>
  <c r="P18" i="3"/>
  <c r="Q18" i="3"/>
  <c r="P17" i="3"/>
  <c r="Q17" i="3"/>
  <c r="P16" i="3"/>
  <c r="Q16" i="3"/>
  <c r="P15" i="3"/>
  <c r="Q15" i="3"/>
  <c r="P14" i="3"/>
  <c r="Q14" i="3"/>
  <c r="P13" i="3"/>
  <c r="Q13" i="3"/>
  <c r="P12" i="3"/>
  <c r="Q12" i="3"/>
  <c r="P11" i="3"/>
  <c r="Q11" i="3"/>
  <c r="P10" i="3"/>
  <c r="Q10" i="3"/>
  <c r="P9" i="3"/>
  <c r="Q9" i="3"/>
  <c r="P8" i="3"/>
  <c r="Q8" i="3"/>
  <c r="P7" i="3"/>
  <c r="Q7" i="3"/>
  <c r="P6" i="3"/>
  <c r="Q6" i="3"/>
  <c r="P5" i="3"/>
  <c r="Q5" i="3"/>
  <c r="P4" i="3"/>
  <c r="Q4" i="3"/>
  <c r="P3" i="3"/>
  <c r="Q3" i="3"/>
  <c r="Q140" i="1"/>
  <c r="P140" i="1"/>
  <c r="E140" i="1"/>
  <c r="F140" i="1"/>
  <c r="G140" i="1"/>
  <c r="H140" i="1"/>
  <c r="I140" i="1"/>
  <c r="J140" i="1"/>
  <c r="K140" i="1"/>
  <c r="L140" i="1"/>
  <c r="M140" i="1"/>
  <c r="N140" i="1"/>
  <c r="O140" i="1"/>
  <c r="D140" i="1"/>
  <c r="F26" i="1"/>
  <c r="G26" i="1"/>
  <c r="H26" i="1"/>
  <c r="I26" i="1"/>
  <c r="J26" i="1"/>
  <c r="K26" i="1"/>
  <c r="L26" i="1"/>
  <c r="M26" i="1"/>
  <c r="N26" i="1"/>
  <c r="O26" i="1"/>
  <c r="E26" i="1"/>
  <c r="D26" i="1"/>
  <c r="F63" i="1"/>
  <c r="G63" i="1"/>
  <c r="H63" i="1"/>
  <c r="I63" i="1"/>
  <c r="J63" i="1"/>
  <c r="K63" i="1"/>
  <c r="L63" i="1"/>
  <c r="M63" i="1"/>
  <c r="N63" i="1"/>
  <c r="O63" i="1"/>
  <c r="E63" i="1"/>
  <c r="F64" i="1"/>
  <c r="G64" i="1"/>
  <c r="H64" i="1"/>
  <c r="I64" i="1"/>
  <c r="J64" i="1"/>
  <c r="K64" i="1"/>
  <c r="L64" i="1"/>
  <c r="M64" i="1"/>
  <c r="N64" i="1"/>
  <c r="O64" i="1"/>
  <c r="E64" i="1"/>
  <c r="D63" i="1"/>
  <c r="E121" i="1"/>
  <c r="F121" i="1"/>
  <c r="G121" i="1"/>
  <c r="H121" i="1"/>
  <c r="I121" i="1"/>
  <c r="J121" i="1"/>
  <c r="K121" i="1"/>
  <c r="L121" i="1"/>
  <c r="M121" i="1"/>
  <c r="N121" i="1"/>
  <c r="O121" i="1"/>
  <c r="D121" i="1"/>
  <c r="E108" i="1"/>
  <c r="F108" i="1"/>
  <c r="G108" i="1"/>
  <c r="H108" i="1"/>
  <c r="I108" i="1"/>
  <c r="J108" i="1"/>
  <c r="K108" i="1"/>
  <c r="L108" i="1"/>
  <c r="M108" i="1"/>
  <c r="N108" i="1"/>
  <c r="O108" i="1"/>
  <c r="D108" i="1"/>
  <c r="E98" i="1"/>
  <c r="F98" i="1"/>
  <c r="G98" i="1"/>
  <c r="H98" i="1"/>
  <c r="I98" i="1"/>
  <c r="J98" i="1"/>
  <c r="K98" i="1"/>
  <c r="L98" i="1"/>
  <c r="M98" i="1"/>
  <c r="N98" i="1"/>
  <c r="O98" i="1"/>
  <c r="D98" i="1"/>
  <c r="E92" i="1"/>
  <c r="F92" i="1"/>
  <c r="G92" i="1"/>
  <c r="H92" i="1"/>
  <c r="I92" i="1"/>
  <c r="J92" i="1"/>
  <c r="K92" i="1"/>
  <c r="L92" i="1"/>
  <c r="M92" i="1"/>
  <c r="N92" i="1"/>
  <c r="O92" i="1"/>
  <c r="D92" i="1"/>
  <c r="E88" i="1"/>
  <c r="F88" i="1"/>
  <c r="G88" i="1"/>
  <c r="H88" i="1"/>
  <c r="I88" i="1"/>
  <c r="J88" i="1"/>
  <c r="K88" i="1"/>
  <c r="L88" i="1"/>
  <c r="M88" i="1"/>
  <c r="N88" i="1"/>
  <c r="O88" i="1"/>
  <c r="D88" i="1"/>
  <c r="E75" i="1"/>
  <c r="F75" i="1"/>
  <c r="G75" i="1"/>
  <c r="H75" i="1"/>
  <c r="I75" i="1"/>
  <c r="J75" i="1"/>
  <c r="K75" i="1"/>
  <c r="L75" i="1"/>
  <c r="M75" i="1"/>
  <c r="N75" i="1"/>
  <c r="O75" i="1"/>
  <c r="D75" i="1"/>
  <c r="D64" i="1"/>
  <c r="E46" i="1"/>
  <c r="F46" i="1"/>
  <c r="G46" i="1"/>
  <c r="H46" i="1"/>
  <c r="I46" i="1"/>
  <c r="J46" i="1"/>
  <c r="K46" i="1"/>
  <c r="L46" i="1"/>
  <c r="M46" i="1"/>
  <c r="N46" i="1"/>
  <c r="O46" i="1"/>
  <c r="D46" i="1"/>
  <c r="E27" i="1"/>
  <c r="F27" i="1"/>
  <c r="G27" i="1"/>
  <c r="H27" i="1"/>
  <c r="I27" i="1"/>
  <c r="J27" i="1"/>
  <c r="K27" i="1"/>
  <c r="L27" i="1"/>
  <c r="M27" i="1"/>
  <c r="N27" i="1"/>
  <c r="O27" i="1"/>
  <c r="D27" i="1"/>
  <c r="E2" i="1"/>
  <c r="E25" i="1"/>
  <c r="F2" i="1"/>
  <c r="F25" i="1"/>
  <c r="G2" i="1"/>
  <c r="G25" i="1"/>
  <c r="H2" i="1"/>
  <c r="H25" i="1"/>
  <c r="I2" i="1"/>
  <c r="I25" i="1"/>
  <c r="J2" i="1"/>
  <c r="J25" i="1"/>
  <c r="K2" i="1"/>
  <c r="K25" i="1"/>
  <c r="L2" i="1"/>
  <c r="L25" i="1"/>
  <c r="M2" i="1"/>
  <c r="M25" i="1"/>
  <c r="N2" i="1"/>
  <c r="N25" i="1"/>
  <c r="O2" i="1"/>
  <c r="O25" i="1"/>
  <c r="D2" i="1"/>
  <c r="D25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3" i="1"/>
  <c r="Q3" i="1"/>
  <c r="P2" i="1"/>
  <c r="Q2" i="1"/>
  <c r="S41" i="4"/>
  <c r="R39" i="4"/>
  <c r="S86" i="4"/>
  <c r="F99" i="4"/>
  <c r="O110" i="3"/>
  <c r="N110" i="3"/>
  <c r="M110" i="3"/>
  <c r="L110" i="3"/>
  <c r="K110" i="3"/>
  <c r="J110" i="3"/>
  <c r="I110" i="3"/>
  <c r="H110" i="3"/>
  <c r="G110" i="3"/>
  <c r="F110" i="3"/>
  <c r="E110" i="3"/>
  <c r="D110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O96" i="3"/>
  <c r="N96" i="3"/>
  <c r="M96" i="3"/>
  <c r="L96" i="3"/>
  <c r="K96" i="3"/>
  <c r="J96" i="3"/>
  <c r="I96" i="3"/>
  <c r="H96" i="3"/>
  <c r="G96" i="3"/>
  <c r="F96" i="3"/>
  <c r="E96" i="3"/>
  <c r="D96" i="3"/>
  <c r="O92" i="3"/>
  <c r="N92" i="3"/>
  <c r="M92" i="3"/>
  <c r="L92" i="3"/>
  <c r="K92" i="3"/>
  <c r="J92" i="3"/>
  <c r="I92" i="3"/>
  <c r="H92" i="3"/>
  <c r="G92" i="3"/>
  <c r="F92" i="3"/>
  <c r="E92" i="3"/>
  <c r="D92" i="3"/>
  <c r="O79" i="3"/>
  <c r="N79" i="3"/>
  <c r="M79" i="3"/>
  <c r="L79" i="3"/>
  <c r="K79" i="3"/>
  <c r="J79" i="3"/>
  <c r="I79" i="3"/>
  <c r="H79" i="3"/>
  <c r="G79" i="3"/>
  <c r="F79" i="3"/>
  <c r="E79" i="3"/>
  <c r="D79" i="3"/>
  <c r="O62" i="3"/>
  <c r="O61" i="3"/>
  <c r="N62" i="3"/>
  <c r="N61" i="3"/>
  <c r="M62" i="3"/>
  <c r="M61" i="3"/>
  <c r="L62" i="3"/>
  <c r="L61" i="3"/>
  <c r="K62" i="3"/>
  <c r="K61" i="3"/>
  <c r="J62" i="3"/>
  <c r="J61" i="3"/>
  <c r="I62" i="3"/>
  <c r="I61" i="3"/>
  <c r="H62" i="3"/>
  <c r="H61" i="3"/>
  <c r="G62" i="3"/>
  <c r="G61" i="3"/>
  <c r="F62" i="3"/>
  <c r="F61" i="3"/>
  <c r="E62" i="3"/>
  <c r="E61" i="3"/>
  <c r="D62" i="3"/>
  <c r="D61" i="3"/>
  <c r="O45" i="3"/>
  <c r="N45" i="3"/>
  <c r="M45" i="3"/>
  <c r="L45" i="3"/>
  <c r="K45" i="3"/>
  <c r="J45" i="3"/>
  <c r="I45" i="3"/>
  <c r="H45" i="3"/>
  <c r="G45" i="3"/>
  <c r="F45" i="3"/>
  <c r="E45" i="3"/>
  <c r="D45" i="3"/>
  <c r="J28" i="3"/>
  <c r="J27" i="3"/>
  <c r="J142" i="3"/>
  <c r="E28" i="3"/>
  <c r="E27" i="3"/>
  <c r="E142" i="3"/>
  <c r="D28" i="3"/>
  <c r="D27" i="3"/>
  <c r="D142" i="3"/>
  <c r="O28" i="3"/>
  <c r="O27" i="3"/>
  <c r="O142" i="3"/>
  <c r="N28" i="3"/>
  <c r="N27" i="3"/>
  <c r="N142" i="3"/>
  <c r="M28" i="3"/>
  <c r="M27" i="3"/>
  <c r="M142" i="3"/>
  <c r="L28" i="3"/>
  <c r="L27" i="3"/>
  <c r="L142" i="3"/>
  <c r="K28" i="3"/>
  <c r="K27" i="3"/>
  <c r="K142" i="3"/>
  <c r="I28" i="3"/>
  <c r="I27" i="3"/>
  <c r="I142" i="3"/>
  <c r="H28" i="3"/>
  <c r="H27" i="3"/>
  <c r="H142" i="3"/>
  <c r="G28" i="3"/>
  <c r="G27" i="3"/>
  <c r="G142" i="3"/>
  <c r="F28" i="3"/>
  <c r="F27" i="3"/>
  <c r="F142" i="3"/>
  <c r="Q113" i="3"/>
  <c r="P110" i="3"/>
  <c r="Q110" i="3"/>
  <c r="P109" i="3"/>
  <c r="Q29" i="3"/>
  <c r="Q28" i="3"/>
  <c r="Q80" i="3"/>
  <c r="Q79" i="3"/>
  <c r="Q93" i="3"/>
  <c r="Q92" i="3"/>
  <c r="Q97" i="3"/>
  <c r="Q96" i="3"/>
  <c r="Q103" i="3"/>
  <c r="Q111" i="3"/>
  <c r="Q67" i="3"/>
  <c r="Q66" i="3"/>
  <c r="P65" i="3"/>
  <c r="Q64" i="3"/>
  <c r="P58" i="3"/>
  <c r="Q58" i="3"/>
  <c r="P56" i="3"/>
  <c r="Q56" i="3"/>
  <c r="P53" i="3"/>
  <c r="Q53" i="3"/>
  <c r="P51" i="3"/>
  <c r="Q51" i="3"/>
  <c r="P49" i="3"/>
  <c r="Q49" i="3"/>
  <c r="P25" i="3"/>
  <c r="Q25" i="3"/>
  <c r="P2" i="3"/>
  <c r="Q2" i="3"/>
  <c r="S39" i="4"/>
  <c r="R38" i="4"/>
  <c r="P62" i="3"/>
  <c r="P61" i="3"/>
  <c r="Q109" i="3"/>
  <c r="P102" i="3"/>
  <c r="Q102" i="3"/>
  <c r="Q61" i="3"/>
  <c r="T66" i="3"/>
  <c r="Q62" i="3"/>
  <c r="Q65" i="3"/>
  <c r="P47" i="3"/>
  <c r="P45" i="3"/>
  <c r="R99" i="4"/>
  <c r="S99" i="4"/>
  <c r="E102" i="4"/>
  <c r="E103" i="4"/>
  <c r="E104" i="4"/>
  <c r="P142" i="3"/>
  <c r="Q142" i="3"/>
  <c r="Q47" i="3"/>
  <c r="Q45" i="3"/>
  <c r="C147" i="3"/>
  <c r="C151" i="3"/>
  <c r="C152" i="3"/>
  <c r="P27" i="3"/>
  <c r="Q27" i="3"/>
  <c r="H86" i="5" l="1"/>
  <c r="K86" i="5"/>
  <c r="Q72" i="5"/>
  <c r="O39" i="5"/>
  <c r="H39" i="5"/>
  <c r="I86" i="5"/>
  <c r="N72" i="5"/>
  <c r="I68" i="5"/>
  <c r="P78" i="5"/>
  <c r="Q86" i="5"/>
  <c r="N68" i="5"/>
  <c r="J86" i="5"/>
  <c r="L86" i="5"/>
  <c r="P68" i="5"/>
  <c r="F39" i="5"/>
  <c r="G72" i="5"/>
  <c r="G68" i="5"/>
  <c r="P72" i="5"/>
  <c r="O72" i="5"/>
  <c r="O78" i="5"/>
  <c r="R94" i="5"/>
  <c r="S94" i="5" s="1"/>
  <c r="G39" i="5"/>
  <c r="M72" i="5"/>
  <c r="M68" i="5"/>
  <c r="M39" i="5"/>
  <c r="M86" i="5"/>
  <c r="N39" i="5"/>
  <c r="P39" i="5"/>
  <c r="K39" i="5"/>
  <c r="J72" i="5"/>
  <c r="J68" i="5"/>
  <c r="I72" i="5"/>
  <c r="I39" i="5"/>
  <c r="H72" i="5"/>
  <c r="H68" i="5"/>
  <c r="Q39" i="5"/>
  <c r="Q68" i="5"/>
  <c r="O68" i="5"/>
  <c r="H55" i="5"/>
  <c r="L39" i="5"/>
  <c r="O55" i="5"/>
  <c r="R18" i="5"/>
  <c r="S18" i="5" s="1"/>
  <c r="N78" i="5"/>
  <c r="R98" i="5"/>
  <c r="S98" i="5" s="1"/>
  <c r="L72" i="5"/>
  <c r="L68" i="5"/>
  <c r="R45" i="5"/>
  <c r="S45" i="5" s="1"/>
  <c r="F55" i="5"/>
  <c r="N86" i="5"/>
  <c r="R26" i="5"/>
  <c r="S26" i="5" s="1"/>
  <c r="K72" i="5"/>
  <c r="K68" i="5"/>
  <c r="J22" i="5"/>
  <c r="O86" i="5"/>
  <c r="M55" i="5"/>
  <c r="L5" i="5"/>
  <c r="R62" i="5"/>
  <c r="S62" i="5" s="1"/>
  <c r="R21" i="5"/>
  <c r="S21" i="5" s="1"/>
  <c r="K5" i="5"/>
  <c r="R9" i="5"/>
  <c r="S9" i="5" s="1"/>
  <c r="R92" i="5"/>
  <c r="S92" i="5" s="1"/>
  <c r="J39" i="5"/>
  <c r="R35" i="5"/>
  <c r="S35" i="5" s="1"/>
  <c r="R77" i="5"/>
  <c r="S77" i="5" s="1"/>
  <c r="R85" i="5"/>
  <c r="S85" i="5" s="1"/>
  <c r="R89" i="5"/>
  <c r="S89" i="5" s="1"/>
  <c r="P86" i="5"/>
  <c r="R6" i="5"/>
  <c r="S6" i="5" s="1"/>
  <c r="M78" i="5"/>
  <c r="K55" i="5"/>
  <c r="J5" i="5"/>
  <c r="R28" i="5"/>
  <c r="S28" i="5" s="1"/>
  <c r="I22" i="5"/>
  <c r="R48" i="5"/>
  <c r="S48" i="5" s="1"/>
  <c r="L78" i="5"/>
  <c r="R96" i="5"/>
  <c r="S96" i="5" s="1"/>
  <c r="R93" i="5"/>
  <c r="S93" i="5" s="1"/>
  <c r="I5" i="5"/>
  <c r="R11" i="5"/>
  <c r="S11" i="5" s="1"/>
  <c r="R37" i="5"/>
  <c r="S37" i="5" s="1"/>
  <c r="R33" i="5"/>
  <c r="S33" i="5" s="1"/>
  <c r="R31" i="5"/>
  <c r="S31" i="5" s="1"/>
  <c r="R29" i="5"/>
  <c r="S29" i="5" s="1"/>
  <c r="H22" i="5"/>
  <c r="R71" i="5"/>
  <c r="S71" i="5" s="1"/>
  <c r="K78" i="5"/>
  <c r="P55" i="5"/>
  <c r="R20" i="5"/>
  <c r="S20" i="5" s="1"/>
  <c r="R19" i="5"/>
  <c r="S19" i="5" s="1"/>
  <c r="H5" i="5"/>
  <c r="R14" i="5"/>
  <c r="S14" i="5" s="1"/>
  <c r="R12" i="5"/>
  <c r="S12" i="5" s="1"/>
  <c r="R34" i="5"/>
  <c r="S34" i="5" s="1"/>
  <c r="R32" i="5"/>
  <c r="S32" i="5" s="1"/>
  <c r="R30" i="5"/>
  <c r="S30" i="5" s="1"/>
  <c r="R27" i="5"/>
  <c r="S27" i="5" s="1"/>
  <c r="R24" i="5"/>
  <c r="S24" i="5" s="1"/>
  <c r="G22" i="5"/>
  <c r="R74" i="5"/>
  <c r="S74" i="5" s="1"/>
  <c r="R56" i="5"/>
  <c r="S56" i="5" s="1"/>
  <c r="J78" i="5"/>
  <c r="R95" i="5"/>
  <c r="S95" i="5" s="1"/>
  <c r="N55" i="5"/>
  <c r="G5" i="5"/>
  <c r="R15" i="5"/>
  <c r="S15" i="5" s="1"/>
  <c r="R13" i="5"/>
  <c r="S13" i="5" s="1"/>
  <c r="R10" i="5"/>
  <c r="S10" i="5" s="1"/>
  <c r="R8" i="5"/>
  <c r="S8" i="5" s="1"/>
  <c r="R7" i="5"/>
  <c r="S7" i="5" s="1"/>
  <c r="F22" i="5"/>
  <c r="R75" i="5"/>
  <c r="S75" i="5" s="1"/>
  <c r="R73" i="5"/>
  <c r="S73" i="5" s="1"/>
  <c r="R69" i="5"/>
  <c r="R67" i="5"/>
  <c r="S67" i="5" s="1"/>
  <c r="R66" i="5"/>
  <c r="S66" i="5" s="1"/>
  <c r="R64" i="5"/>
  <c r="S64" i="5" s="1"/>
  <c r="R59" i="5"/>
  <c r="S59" i="5" s="1"/>
  <c r="R57" i="5"/>
  <c r="S57" i="5" s="1"/>
  <c r="R80" i="5"/>
  <c r="S80" i="5" s="1"/>
  <c r="R99" i="5"/>
  <c r="S99" i="5" s="1"/>
  <c r="G55" i="5"/>
  <c r="F5" i="5"/>
  <c r="Q22" i="5"/>
  <c r="R61" i="5"/>
  <c r="S61" i="5" s="1"/>
  <c r="R58" i="5"/>
  <c r="S58" i="5" s="1"/>
  <c r="R44" i="5"/>
  <c r="S44" i="5" s="1"/>
  <c r="R83" i="5"/>
  <c r="S83" i="5" s="1"/>
  <c r="R81" i="5"/>
  <c r="S81" i="5" s="1"/>
  <c r="R88" i="5"/>
  <c r="I55" i="5"/>
  <c r="L55" i="5"/>
  <c r="R84" i="5"/>
  <c r="S84" i="5" s="1"/>
  <c r="R79" i="5"/>
  <c r="S79" i="5" s="1"/>
  <c r="P5" i="5"/>
  <c r="O22" i="5"/>
  <c r="F78" i="5"/>
  <c r="J55" i="5"/>
  <c r="Q55" i="5"/>
  <c r="O5" i="5"/>
  <c r="N22" i="5"/>
  <c r="Q78" i="5"/>
  <c r="Q5" i="5"/>
  <c r="P22" i="5"/>
  <c r="R82" i="5"/>
  <c r="S82" i="5" s="1"/>
  <c r="K22" i="5"/>
  <c r="N5" i="5"/>
  <c r="M22" i="5"/>
  <c r="R65" i="5"/>
  <c r="S65" i="5" s="1"/>
  <c r="R90" i="5"/>
  <c r="S90" i="5" s="1"/>
  <c r="M5" i="5"/>
  <c r="L22" i="5"/>
  <c r="R41" i="5"/>
  <c r="S41" i="5" s="1"/>
  <c r="G78" i="5"/>
  <c r="H78" i="5"/>
  <c r="I78" i="5"/>
  <c r="R23" i="5"/>
  <c r="R17" i="5"/>
  <c r="S17" i="5" s="1"/>
  <c r="R16" i="5"/>
  <c r="S16" i="5" s="1"/>
  <c r="I38" i="5" l="1"/>
  <c r="H38" i="5"/>
  <c r="L38" i="5"/>
  <c r="L4" i="5" s="1"/>
  <c r="L101" i="5" s="1"/>
  <c r="F38" i="5"/>
  <c r="I4" i="5"/>
  <c r="I101" i="5" s="1"/>
  <c r="K38" i="5"/>
  <c r="K4" i="5" s="1"/>
  <c r="K101" i="5" s="1"/>
  <c r="P38" i="5"/>
  <c r="O38" i="5"/>
  <c r="O4" i="5" s="1"/>
  <c r="O101" i="5" s="1"/>
  <c r="P4" i="5"/>
  <c r="P101" i="5" s="1"/>
  <c r="G38" i="5"/>
  <c r="G4" i="5" s="1"/>
  <c r="G101" i="5" s="1"/>
  <c r="F4" i="5"/>
  <c r="F101" i="5" s="1"/>
  <c r="S88" i="5"/>
  <c r="R86" i="5"/>
  <c r="S86" i="5" s="1"/>
  <c r="N38" i="5"/>
  <c r="N4" i="5" s="1"/>
  <c r="N101" i="5" s="1"/>
  <c r="M38" i="5"/>
  <c r="M4" i="5" s="1"/>
  <c r="M101" i="5" s="1"/>
  <c r="Q38" i="5"/>
  <c r="Q4" i="5" s="1"/>
  <c r="Q101" i="5" s="1"/>
  <c r="H4" i="5"/>
  <c r="H101" i="5" s="1"/>
  <c r="R68" i="5"/>
  <c r="S68" i="5" s="1"/>
  <c r="S69" i="5"/>
  <c r="R55" i="5"/>
  <c r="S55" i="5" s="1"/>
  <c r="J38" i="5"/>
  <c r="J4" i="5" s="1"/>
  <c r="J101" i="5" s="1"/>
  <c r="R78" i="5"/>
  <c r="S78" i="5" s="1"/>
  <c r="R39" i="5"/>
  <c r="S39" i="5" s="1"/>
  <c r="R72" i="5"/>
  <c r="S72" i="5" s="1"/>
  <c r="S23" i="5"/>
  <c r="R22" i="5"/>
  <c r="S22" i="5" s="1"/>
  <c r="R5" i="5"/>
  <c r="S5" i="5" s="1"/>
  <c r="R38" i="5" l="1"/>
  <c r="S38" i="5" s="1"/>
  <c r="R101" i="5" l="1"/>
  <c r="S101" i="5" s="1"/>
  <c r="E104" i="5" s="1"/>
  <c r="E105" i="5" s="1"/>
  <c r="E106" i="5" s="1"/>
</calcChain>
</file>

<file path=xl/sharedStrings.xml><?xml version="1.0" encoding="utf-8"?>
<sst xmlns="http://schemas.openxmlformats.org/spreadsheetml/2006/main" count="562" uniqueCount="176">
  <si>
    <t>Horiontal Praia Brava</t>
  </si>
  <si>
    <t>Previsão Orçamentária 2026</t>
  </si>
  <si>
    <t>Categorias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</si>
  <si>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</si>
  <si>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</si>
  <si>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</si>
  <si>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</si>
  <si>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</si>
  <si>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</si>
  <si>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</si>
  <si>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</si>
  <si>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</si>
  <si>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</si>
  <si>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</si>
  <si>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</si>
  <si>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Total</t>
  </si>
  <si>
    <t>Média</t>
  </si>
  <si>
    <t>2 Despesas</t>
  </si>
  <si>
    <t>REAJUSTE</t>
  </si>
  <si>
    <t xml:space="preserve">   2.1 Administrativas</t>
  </si>
  <si>
    <t xml:space="preserve">      2.1.1 Despesas Bancárias</t>
  </si>
  <si>
    <t xml:space="preserve">      2.1.11 Reuniões-treinamentos</t>
  </si>
  <si>
    <t xml:space="preserve">      2.1.12 Certificado Digital</t>
  </si>
  <si>
    <t xml:space="preserve">      2.1.14 Outros-não Previstos</t>
  </si>
  <si>
    <t xml:space="preserve">      2.1.19 Alvará De Funcionamento</t>
  </si>
  <si>
    <t xml:space="preserve">      2.1.2 Material De Expediente-correio</t>
  </si>
  <si>
    <t xml:space="preserve">      2.1.21 Sistema De Reservas On-line</t>
  </si>
  <si>
    <t xml:space="preserve">      2.1.22 Material Expediente- Impressões/Digitalizações/Encadernação/Envelopes</t>
  </si>
  <si>
    <t xml:space="preserve">      2.1.3 Honorário Síndico</t>
  </si>
  <si>
    <t xml:space="preserve">      2.1.4 Inss-ir-síndico</t>
  </si>
  <si>
    <t xml:space="preserve">      2.1.5 Iptu</t>
  </si>
  <si>
    <t xml:space="preserve">      2.1.6 Taxa De Lixo</t>
  </si>
  <si>
    <t xml:space="preserve">      2.1.60 Outros</t>
  </si>
  <si>
    <t xml:space="preserve">      2.1.7 Seguro</t>
  </si>
  <si>
    <t xml:space="preserve">      2.1.8 Cartório</t>
  </si>
  <si>
    <t xml:space="preserve">      2.1.9 Documentação Veículo / Multas e Infrações</t>
  </si>
  <si>
    <t xml:space="preserve">   2.2 Colaboradores</t>
  </si>
  <si>
    <t xml:space="preserve">      2.2.1 Salários Líquidos</t>
  </si>
  <si>
    <t xml:space="preserve">      2.2.10 Benefícios Saúde-cesta Básica-copa</t>
  </si>
  <si>
    <t xml:space="preserve">      2.2.11 Uniforme-epi</t>
  </si>
  <si>
    <t xml:space="preserve">      2.2.12 Laudos Médicos-exames</t>
  </si>
  <si>
    <t xml:space="preserve">      2.2.13 Cursos-treinamentos</t>
  </si>
  <si>
    <t xml:space="preserve">      2.2.14 Brindes-confraternizações</t>
  </si>
  <si>
    <t xml:space="preserve">      2.2.15 Seguro De Vida</t>
  </si>
  <si>
    <t xml:space="preserve">      2.2.16 Contribuição Sindical Empregados</t>
  </si>
  <si>
    <t xml:space="preserve">      2.2.17 Contribuição Sindical Patronal</t>
  </si>
  <si>
    <t xml:space="preserve">      2.2.20 Tributos Dctf-web</t>
  </si>
  <si>
    <t xml:space="preserve">      2.2.3 Fgts</t>
  </si>
  <si>
    <t xml:space="preserve">      2.2.6 Férias</t>
  </si>
  <si>
    <t xml:space="preserve">      2.2.7 13 Salário</t>
  </si>
  <si>
    <t xml:space="preserve">      2.2.8 Rescisões</t>
  </si>
  <si>
    <t xml:space="preserve">      2.2.9 Vale Transporte</t>
  </si>
  <si>
    <t xml:space="preserve">   2.3 Manutenção</t>
  </si>
  <si>
    <t xml:space="preserve">      2.3.1 Areas De Lazer</t>
  </si>
  <si>
    <t xml:space="preserve">         2.3.1.1 Salão De Festas Bosque</t>
  </si>
  <si>
    <t xml:space="preserve">         2.3.1.12 Churrasqueira Costela Fogo De Chão</t>
  </si>
  <si>
    <t xml:space="preserve">         2.3.1.2 Salão De Festas Piscina</t>
  </si>
  <si>
    <t xml:space="preserve">         2.3.1.3 Salão De Festas Pub</t>
  </si>
  <si>
    <t xml:space="preserve">         2.3.1.4 Quiosque</t>
  </si>
  <si>
    <t xml:space="preserve">         2.3.1.5 Espaço Juvenil</t>
  </si>
  <si>
    <t xml:space="preserve">         2.3.1.6 Piscina</t>
  </si>
  <si>
    <t xml:space="preserve">         2.3.1.7 Playground - Bosque</t>
  </si>
  <si>
    <t xml:space="preserve">         2.3.1.8 Academia</t>
  </si>
  <si>
    <t>2.3.1.13 Quadra Futebol</t>
  </si>
  <si>
    <t>2.3.1.14 Quadra de tenis</t>
  </si>
  <si>
    <t>2.3.1.15 Quadra Poliesportiva</t>
  </si>
  <si>
    <t>2.3.1.16 Quadra Padle</t>
  </si>
  <si>
    <t>2.3.1.17 Quadra de areia</t>
  </si>
  <si>
    <t>2.3.1.18 Playground - Piscina</t>
  </si>
  <si>
    <t xml:space="preserve">      2.3.2 Estrutura</t>
  </si>
  <si>
    <t xml:space="preserve">         2.3.2.1 Areas e Instalações Comuns</t>
  </si>
  <si>
    <t xml:space="preserve">         2.3.2.10 Ruas-meio Fio-lombada-sinalização</t>
  </si>
  <si>
    <t xml:space="preserve">         2.3.2.12 Pergola</t>
  </si>
  <si>
    <t xml:space="preserve">         2.3.2.13 Dog Park</t>
  </si>
  <si>
    <t xml:space="preserve">         2.3.2.2 Elétrica- Iluminação</t>
  </si>
  <si>
    <t xml:space="preserve">         2.3.2.3 Instalações Hidráulicas- Esgoto</t>
  </si>
  <si>
    <t xml:space="preserve">         2.3.2.4 Jardim</t>
  </si>
  <si>
    <t xml:space="preserve">         2.3.2.5 Portaria Social</t>
  </si>
  <si>
    <t xml:space="preserve">         2.3.2.6 Portaria De Serviço</t>
  </si>
  <si>
    <t xml:space="preserve">         2.3.2.7 Prédio-sala Administrativo-garagem</t>
  </si>
  <si>
    <t xml:space="preserve">         2.3.2.8 Poço Artesiano</t>
  </si>
  <si>
    <t xml:space="preserve">         2.3.2.9 Cerca Muro</t>
  </si>
  <si>
    <t xml:space="preserve">      2.3.3 Máquinas e Equipamentos</t>
  </si>
  <si>
    <t xml:space="preserve">         2.3.3.1 Sistema De Segurança</t>
  </si>
  <si>
    <t xml:space="preserve">         2.3.3.2 Aparelhos-máquinas-ferramentas-equipamentos</t>
  </si>
  <si>
    <t xml:space="preserve">         2.3.3.3 Veículo-moto</t>
  </si>
  <si>
    <t xml:space="preserve">      2.3.4 Serviços Especializados</t>
  </si>
  <si>
    <t xml:space="preserve">         2.3.4.1 Extintores</t>
  </si>
  <si>
    <t xml:space="preserve">         2.3.4.2 Dedetização-desinsetização-desratização</t>
  </si>
  <si>
    <t xml:space="preserve">         2.3.4.3 Fossa-caixa De Gordura</t>
  </si>
  <si>
    <t xml:space="preserve">         2.3.4.4 Reservatórios De Água</t>
  </si>
  <si>
    <t xml:space="preserve">         2.3.4.5 Análise De Água</t>
  </si>
  <si>
    <t xml:space="preserve">   2.4 Serviços</t>
  </si>
  <si>
    <t xml:space="preserve">      2.4.1 Honorários Advocatícios</t>
  </si>
  <si>
    <t xml:space="preserve">      2.4.2 Honorários Engenharia</t>
  </si>
  <si>
    <t xml:space="preserve">      2.4.3 Honorários Contábeis</t>
  </si>
  <si>
    <t xml:space="preserve">      2.4.4 Segurança- Serviço Vigilância</t>
  </si>
  <si>
    <t xml:space="preserve">      2.4.5 Cobertura De Férias</t>
  </si>
  <si>
    <t xml:space="preserve">      2.4.6 Serviços Extras</t>
  </si>
  <si>
    <t xml:space="preserve">      2.4.7 Eletro-eletrônica-comunicação-sistemas</t>
  </si>
  <si>
    <t xml:space="preserve">   2.5 Consumíveis</t>
  </si>
  <si>
    <t xml:space="preserve">      2.5.1 Energia Elétrica</t>
  </si>
  <si>
    <t xml:space="preserve">      2.5.10 Material De Limpeza</t>
  </si>
  <si>
    <t xml:space="preserve">      2.5.11 Pomar-reciclagem</t>
  </si>
  <si>
    <t xml:space="preserve">      2.5.12 Açúde</t>
  </si>
  <si>
    <t xml:space="preserve">      2.5.2 Semasa-esgoto</t>
  </si>
  <si>
    <t xml:space="preserve">      2.5.3 Telefone Fixo</t>
  </si>
  <si>
    <t xml:space="preserve">      2.5.4 Telefone Móvel</t>
  </si>
  <si>
    <t xml:space="preserve">      2.5.5 Tv a Cabo</t>
  </si>
  <si>
    <t xml:space="preserve">      2.5.6 Internet</t>
  </si>
  <si>
    <t xml:space="preserve">      2.5.7 Hospedagem Site - E-mail</t>
  </si>
  <si>
    <t xml:space="preserve">      2.5.8 Gás</t>
  </si>
  <si>
    <t xml:space="preserve">      2.5.9 Combustível</t>
  </si>
  <si>
    <t xml:space="preserve"> TOTAL GERAL DESPESAS</t>
  </si>
  <si>
    <t>Previsão Mensal 2025</t>
  </si>
  <si>
    <t>Previsão Mensal 2026</t>
  </si>
  <si>
    <t xml:space="preserve">Reajuste </t>
  </si>
  <si>
    <t>%</t>
  </si>
  <si>
    <t xml:space="preserve"> </t>
  </si>
  <si>
    <t>1 Receitas</t>
  </si>
  <si>
    <t xml:space="preserve">   1.1 Taxa Condominial</t>
  </si>
  <si>
    <t xml:space="preserve">   1.10 Rendimentos</t>
  </si>
  <si>
    <t xml:space="preserve">   1.11 Liberação Obra</t>
  </si>
  <si>
    <t xml:space="preserve">   1.12 Honorário Advocatício</t>
  </si>
  <si>
    <t xml:space="preserve">   1.13 Pagamentos a Menor</t>
  </si>
  <si>
    <t xml:space="preserve">   1.17 Taxa Salão Bosque</t>
  </si>
  <si>
    <t xml:space="preserve">   1.18 Taxa Salão Piscina</t>
  </si>
  <si>
    <t xml:space="preserve">   1.19 Taxa Salão Pub</t>
  </si>
  <si>
    <t xml:space="preserve">   1.2 Fundo De Reserva</t>
  </si>
  <si>
    <t xml:space="preserve">   1.20 Taxa Quiosque</t>
  </si>
  <si>
    <t xml:space="preserve">   1.21 Taxa Campo Futebol</t>
  </si>
  <si>
    <t xml:space="preserve">   1.23 Ressarcimento Utensílios-danos</t>
  </si>
  <si>
    <t xml:space="preserve">   1.24 Limpeza Lotes</t>
  </si>
  <si>
    <t xml:space="preserve">   1.25 Ressarcimentos</t>
  </si>
  <si>
    <t xml:space="preserve">   1.26 Custas Judicias</t>
  </si>
  <si>
    <t xml:space="preserve">   1.30 Confraternização Condôminos</t>
  </si>
  <si>
    <t xml:space="preserve">   1.33 Venda Terreno</t>
  </si>
  <si>
    <t xml:space="preserve">   1.4 Semasa-esgoto</t>
  </si>
  <si>
    <t xml:space="preserve">   1.5 Juros</t>
  </si>
  <si>
    <t xml:space="preserve">   1.6 Multa</t>
  </si>
  <si>
    <t xml:space="preserve">   1.8 Multas Infrações</t>
  </si>
  <si>
    <t xml:space="preserve">   1.9 Atualização Monetária</t>
  </si>
  <si>
    <t xml:space="preserve"> TOTAL GERAL RECEITAS</t>
  </si>
  <si>
    <t xml:space="preserve">      2.1.16 Multa</t>
  </si>
  <si>
    <t xml:space="preserve">      2.1.17 Juros</t>
  </si>
  <si>
    <t xml:space="preserve">      2.1.9 Documentação Veículo</t>
  </si>
  <si>
    <t xml:space="preserve">      2.2.19 Jovem Aprendiz</t>
  </si>
  <si>
    <t xml:space="preserve">         2.3.1.10 Quadras-campo</t>
  </si>
  <si>
    <t xml:space="preserve">         2.3.1.7 Playground</t>
  </si>
  <si>
    <t xml:space="preserve">      2.4.60 Outros</t>
  </si>
  <si>
    <t xml:space="preserve">      2.4.9 Honorários Periciais e De Assistentes</t>
  </si>
  <si>
    <t xml:space="preserve">   2.6 Extraordinárias</t>
  </si>
  <si>
    <t xml:space="preserve">      2.6.1 Máquinas-equipamentos</t>
  </si>
  <si>
    <t xml:space="preserve">      2.6.10 Ressarcimento Terceiros</t>
  </si>
  <si>
    <t xml:space="preserve">      2.6.11 Quiosque</t>
  </si>
  <si>
    <t xml:space="preserve">      2.6.12 Academia</t>
  </si>
  <si>
    <t xml:space="preserve">      2.6.15 Lavação</t>
  </si>
  <si>
    <t xml:space="preserve">      2.6.16 Playground</t>
  </si>
  <si>
    <t xml:space="preserve">      2.6.2 Sistema De Segurança- Smart Gates </t>
  </si>
  <si>
    <t xml:space="preserve">      2.6.21 Confraternização Condôminos</t>
  </si>
  <si>
    <t xml:space="preserve">      2.6.26 Móveis - Reforma Piscina - Reforma Jardins - Área Entorno</t>
  </si>
  <si>
    <t xml:space="preserve">      2.6.27 Reforma Campo De Futebol</t>
  </si>
  <si>
    <t xml:space="preserve">      2.6.28 Reforma Academia</t>
  </si>
  <si>
    <t xml:space="preserve">      2.6.29 Reforma Salão Festas Piscina Interno - Externo</t>
  </si>
  <si>
    <t xml:space="preserve">      2.6.3 Móveis-utensílios</t>
  </si>
  <si>
    <t xml:space="preserve">      2.6.30 Área B</t>
  </si>
  <si>
    <t xml:space="preserve">      2.6.31 Placas Solares Fotovoltaicas</t>
  </si>
  <si>
    <t xml:space="preserve">      2.6.4 Decorações</t>
  </si>
  <si>
    <t xml:space="preserve">      2.6.5 Salão De Festas Bosque</t>
  </si>
  <si>
    <t xml:space="preserve">      2.6.9 Despesas Ressarcíveis</t>
  </si>
  <si>
    <t>Quadra Futebol</t>
  </si>
  <si>
    <t>Quadra de tenis</t>
  </si>
  <si>
    <t>Quadra Poliesportiva</t>
  </si>
  <si>
    <t>Quadra Padle</t>
  </si>
  <si>
    <t>Quadra de areia</t>
  </si>
  <si>
    <t>Playground - 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</si>
</sst>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#"/>
    <numFmt numFmtId="165" formatCode="#,##0.000"/>
    <numFmt numFmtId="166" formatCode="_-* #,##0.00000_-;\-* #,##0.00000_-;_-* &quot;-&quot;??_-;_-@_-"/>
    <numFmt numFmtId="167" formatCode="0.0000"/>
    <numFmt numFmtId="168" formatCode="&quot;R$&quot;\ #,##0.00"/>
  </numFmts>
  <fonts count="8">
    <font>
      <sz val="11"/>
      <color theme="1"/>
      <name val="Calibri"/>
      <family val="2"/>
      <scheme val="minor"/>
    </font>
    <font>
      <b/>
      <sz val="9"/>
      <color rgb="FFFFFFFF"/>
      <name val="SansSerif"/>
      <family val="2"/>
    </font>
    <font>
      <sz val="9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E2FF"/>
      </patternFill>
    </fill>
    <fill>
      <patternFill patternType="solid">
        <fgColor rgb="FF0F2E54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10" fontId="2" fillId="0" borderId="0" xfId="0" applyNumberFormat="1" applyFont="1"/>
    <xf numFmtId="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vertical="top" wrapText="1"/>
    </xf>
    <xf numFmtId="0" fontId="2" fillId="0" borderId="0" xfId="0" applyFont="1" applyAlignment="1" applyProtection="1">
      <alignment wrapText="1"/>
      <protection locked="0"/>
    </xf>
    <xf numFmtId="164" fontId="4" fillId="0" borderId="1" xfId="0" applyNumberFormat="1" applyFont="1" applyBorder="1" applyAlignment="1">
      <alignment horizontal="right" vertical="top" wrapText="1"/>
    </xf>
    <xf numFmtId="4" fontId="3" fillId="6" borderId="1" xfId="0" applyNumberFormat="1" applyFont="1" applyFill="1" applyBorder="1" applyAlignment="1">
      <alignment horizontal="right" vertical="top" wrapText="1"/>
    </xf>
    <xf numFmtId="4" fontId="3" fillId="7" borderId="1" xfId="0" applyNumberFormat="1" applyFont="1" applyFill="1" applyBorder="1" applyAlignment="1">
      <alignment horizontal="right" vertical="top" wrapText="1"/>
    </xf>
    <xf numFmtId="164" fontId="3" fillId="7" borderId="1" xfId="0" applyNumberFormat="1" applyFont="1" applyFill="1" applyBorder="1" applyAlignment="1">
      <alignment vertical="top" wrapText="1"/>
    </xf>
    <xf numFmtId="164" fontId="3" fillId="6" borderId="1" xfId="0" applyNumberFormat="1" applyFont="1" applyFill="1" applyBorder="1" applyAlignment="1">
      <alignment vertical="top" wrapText="1"/>
    </xf>
    <xf numFmtId="0" fontId="2" fillId="7" borderId="0" xfId="0" applyFont="1" applyFill="1" applyAlignment="1" applyProtection="1">
      <alignment wrapText="1"/>
      <protection locked="0"/>
    </xf>
    <xf numFmtId="0" fontId="5" fillId="7" borderId="0" xfId="0" applyFont="1" applyFill="1" applyAlignment="1" applyProtection="1">
      <alignment wrapText="1"/>
      <protection locked="0"/>
    </xf>
    <xf numFmtId="166" fontId="5" fillId="7" borderId="0" xfId="0" applyNumberFormat="1" applyFont="1" applyFill="1"/>
    <xf numFmtId="0" fontId="2" fillId="7" borderId="0" xfId="0" applyFont="1" applyFill="1"/>
    <xf numFmtId="0" fontId="5" fillId="6" borderId="0" xfId="0" applyFont="1" applyFill="1" applyAlignment="1" applyProtection="1">
      <alignment wrapText="1"/>
      <protection locked="0"/>
    </xf>
    <xf numFmtId="166" fontId="5" fillId="6" borderId="0" xfId="0" applyNumberFormat="1" applyFont="1" applyFill="1"/>
    <xf numFmtId="10" fontId="5" fillId="6" borderId="0" xfId="0" applyNumberFormat="1" applyFont="1" applyFill="1"/>
    <xf numFmtId="166" fontId="5" fillId="0" borderId="0" xfId="0" applyNumberFormat="1" applyFont="1"/>
    <xf numFmtId="10" fontId="5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4" fontId="3" fillId="9" borderId="1" xfId="0" applyNumberFormat="1" applyFont="1" applyFill="1" applyBorder="1" applyAlignment="1">
      <alignment horizontal="right" vertical="top" wrapText="1"/>
    </xf>
    <xf numFmtId="4" fontId="3" fillId="9" borderId="1" xfId="0" applyNumberFormat="1" applyFont="1" applyFill="1" applyBorder="1" applyAlignment="1">
      <alignment horizontal="right" vertical="top" wrapText="1"/>
    </xf>
    <xf numFmtId="4" fontId="4" fillId="0" borderId="1" xfId="0" applyNumberFormat="1" applyFont="1" applyBorder="1" applyAlignment="1">
      <alignment vertical="top" wrapText="1"/>
    </xf>
    <xf numFmtId="4" fontId="4" fillId="6" borderId="1" xfId="0" applyNumberFormat="1" applyFont="1" applyFill="1" applyBorder="1" applyAlignment="1">
      <alignment vertical="top" wrapText="1"/>
    </xf>
    <xf numFmtId="4" fontId="3" fillId="6" borderId="1" xfId="0" applyNumberFormat="1" applyFont="1" applyFill="1" applyBorder="1" applyAlignment="1">
      <alignment vertical="top" wrapText="1"/>
    </xf>
    <xf numFmtId="4" fontId="3" fillId="7" borderId="1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2" fillId="5" borderId="0" xfId="0" applyFont="1" applyFill="1" applyAlignment="1" applyProtection="1">
      <alignment wrapText="1"/>
      <protection locked="0"/>
    </xf>
    <xf numFmtId="164" fontId="3" fillId="4" borderId="1" xfId="0" applyNumberFormat="1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horizontal="right" vertical="top" wrapText="1"/>
    </xf>
    <xf numFmtId="164" fontId="4" fillId="5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5" fillId="5" borderId="0" xfId="0" applyFont="1" applyFill="1" applyAlignment="1" applyProtection="1">
      <alignment wrapText="1"/>
      <protection locked="0"/>
    </xf>
    <xf numFmtId="4" fontId="3" fillId="2" borderId="1" xfId="0" applyNumberFormat="1" applyFont="1" applyFill="1" applyBorder="1" applyAlignment="1">
      <alignment vertical="top" wrapText="1"/>
    </xf>
    <xf numFmtId="164" fontId="4" fillId="8" borderId="1" xfId="0" applyNumberFormat="1" applyFont="1" applyFill="1" applyBorder="1" applyAlignment="1">
      <alignment horizontal="right" vertical="top" wrapText="1"/>
    </xf>
    <xf numFmtId="164" fontId="4" fillId="8" borderId="1" xfId="0" applyNumberFormat="1" applyFont="1" applyFill="1" applyBorder="1" applyAlignment="1">
      <alignment vertical="top" wrapText="1"/>
    </xf>
    <xf numFmtId="0" fontId="2" fillId="8" borderId="0" xfId="0" applyFont="1" applyFill="1" applyAlignment="1" applyProtection="1">
      <alignment wrapText="1"/>
      <protection locked="0"/>
    </xf>
    <xf numFmtId="0" fontId="2" fillId="8" borderId="0" xfId="0" applyFont="1" applyFill="1"/>
    <xf numFmtId="167" fontId="2" fillId="0" borderId="0" xfId="0" applyNumberFormat="1" applyFont="1"/>
    <xf numFmtId="2" fontId="2" fillId="0" borderId="0" xfId="0" applyNumberFormat="1" applyFont="1"/>
    <xf numFmtId="164" fontId="3" fillId="8" borderId="1" xfId="0" applyNumberFormat="1" applyFont="1" applyFill="1" applyBorder="1" applyAlignment="1">
      <alignment horizontal="right" vertical="top" wrapText="1"/>
    </xf>
    <xf numFmtId="164" fontId="3" fillId="8" borderId="1" xfId="0" applyNumberFormat="1" applyFont="1" applyFill="1" applyBorder="1" applyAlignment="1">
      <alignment vertical="top" wrapText="1"/>
    </xf>
    <xf numFmtId="4" fontId="4" fillId="8" borderId="1" xfId="0" applyNumberFormat="1" applyFont="1" applyFill="1" applyBorder="1" applyAlignment="1">
      <alignment horizontal="right" vertical="top" wrapText="1"/>
    </xf>
    <xf numFmtId="4" fontId="4" fillId="8" borderId="1" xfId="0" applyNumberFormat="1" applyFont="1" applyFill="1" applyBorder="1" applyAlignment="1">
      <alignment vertical="top" wrapText="1"/>
    </xf>
    <xf numFmtId="168" fontId="2" fillId="0" borderId="0" xfId="0" applyNumberFormat="1" applyFont="1"/>
    <xf numFmtId="0" fontId="2" fillId="0" borderId="1" xfId="0" applyFont="1" applyBorder="1"/>
    <xf numFmtId="4" fontId="3" fillId="2" borderId="2" xfId="0" applyNumberFormat="1" applyFont="1" applyFill="1" applyBorder="1" applyAlignment="1">
      <alignment horizontal="right" vertical="top" wrapText="1"/>
    </xf>
    <xf numFmtId="4" fontId="3" fillId="2" borderId="2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 applyProtection="1">
      <alignment wrapText="1"/>
      <protection locked="0"/>
    </xf>
    <xf numFmtId="0" fontId="1" fillId="3" borderId="4" xfId="0" applyFont="1" applyFill="1" applyBorder="1" applyAlignment="1">
      <alignment vertical="top" wrapText="1"/>
    </xf>
    <xf numFmtId="164" fontId="0" fillId="0" borderId="5" xfId="0" applyNumberFormat="1" applyBorder="1"/>
    <xf numFmtId="4" fontId="7" fillId="0" borderId="2" xfId="0" applyNumberFormat="1" applyFont="1" applyBorder="1"/>
    <xf numFmtId="165" fontId="0" fillId="0" borderId="2" xfId="0" applyNumberFormat="1" applyBorder="1"/>
    <xf numFmtId="10" fontId="7" fillId="11" borderId="2" xfId="0" applyNumberFormat="1" applyFont="1" applyFill="1" applyBorder="1"/>
    <xf numFmtId="0" fontId="7" fillId="11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7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3"/>
    </xf>
    <xf numFmtId="0" fontId="4" fillId="10" borderId="3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49D4-7E9D-4CF0-B047-E426D0BE1A83}">
  <sheetPr>
    <outlinePr summaryBelow="0"/>
  </sheetPr>
  <dimension ref="C1:V135"/>
  <sheetViews>
    <sheetView zoomScale="140" zoomScaleNormal="140" workbookViewId="0">
      <pane ySplit="3" topLeftCell="A4" activePane="bottomLeft" state="frozen"/>
      <selection pane="bottomLeft" activeCell="Y30" sqref="Y30"/>
    </sheetView>
  </sheetViews>
  <sheetFormatPr defaultColWidth="9.109375" defaultRowHeight="15" customHeight="1"/>
  <cols>
    <col min="1" max="2" width="9.109375" style="1"/>
    <col min="3" max="3" width="8.33203125" style="1" customWidth="1"/>
    <col min="4" max="4" width="13.109375" style="1" customWidth="1"/>
    <col min="5" max="5" width="24.88671875" style="1" customWidth="1"/>
    <col min="6" max="17" width="9.5546875" style="1" hidden="1" customWidth="1"/>
    <col min="18" max="18" width="14.33203125" style="1" customWidth="1"/>
    <col min="19" max="19" width="13.5546875" style="1" customWidth="1"/>
    <col min="20" max="20" width="8.109375" style="1" hidden="1" customWidth="1"/>
    <col min="21" max="21" width="0" style="1" hidden="1" customWidth="1"/>
    <col min="22" max="22" width="11.109375" style="1" hidden="1" customWidth="1"/>
    <col min="23" max="23" width="0" style="1" hidden="1" customWidth="1"/>
    <col min="24" max="16384" width="9.109375" style="1"/>
  </cols>
  <sheetData>
    <row r="1" spans="3:22" ht="19.5" customHeight="1">
      <c r="C1" s="79" t="s">
        <v>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3:22" ht="19.5" customHeight="1">
      <c r="C2" s="80" t="s">
        <v>1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3:22" ht="16.5" customHeight="1">
      <c r="C3" s="81" t="s">
        <v>2</v>
      </c>
      <c r="D3" s="82"/>
      <c r="E3" s="83"/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63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29" t="s">
        <v>15</v>
      </c>
      <c r="S3" s="29" t="s">
        <v>16</v>
      </c>
      <c r="T3" s="32"/>
    </row>
    <row r="4" spans="3:22" ht="12">
      <c r="C4" s="84" t="s">
        <v>17</v>
      </c>
      <c r="D4" s="84"/>
      <c r="E4" s="84"/>
      <c r="F4" s="23" t="e">
        <f>F5+F22+F38+F78+F86+#REF!</f>
        <v>#REF!</v>
      </c>
      <c r="G4" s="23" t="e">
        <f>G5+G22+G38+G78+G86+#REF!</f>
        <v>#REF!</v>
      </c>
      <c r="H4" s="23" t="e">
        <f>H5+H22+H38+H78+H86+#REF!</f>
        <v>#REF!</v>
      </c>
      <c r="I4" s="23" t="e">
        <f>I5+I22+I38+I78+I86+#REF!</f>
        <v>#REF!</v>
      </c>
      <c r="J4" s="23" t="e">
        <f>J5+J22+J38+J78+J86+#REF!</f>
        <v>#REF!</v>
      </c>
      <c r="K4" s="23" t="e">
        <f>K5+K22+K38+K78+K86+#REF!</f>
        <v>#REF!</v>
      </c>
      <c r="L4" s="23" t="e">
        <f>L5+L22+L38+L78+L86+#REF!</f>
        <v>#REF!</v>
      </c>
      <c r="M4" s="23" t="e">
        <f>M5+M22+M38+M78+M86+#REF!</f>
        <v>#REF!</v>
      </c>
      <c r="N4" s="23" t="e">
        <f>N5+N22+N38+N78+N86+#REF!</f>
        <v>#REF!</v>
      </c>
      <c r="O4" s="23" t="e">
        <f>O5+O22+O38+O78+O86+#REF!</f>
        <v>#REF!</v>
      </c>
      <c r="P4" s="23" t="e">
        <f>P5+P22+P38+P78+P86+#REF!</f>
        <v>#REF!</v>
      </c>
      <c r="Q4" s="23" t="e">
        <f>Q5+Q22+Q38+Q78+Q86+#REF!</f>
        <v>#REF!</v>
      </c>
      <c r="R4" s="23"/>
      <c r="S4" s="24"/>
      <c r="T4" s="15" t="s">
        <v>18</v>
      </c>
      <c r="U4" s="16">
        <v>1.0449999999999999</v>
      </c>
      <c r="V4" s="17">
        <v>4.4999999999999998E-2</v>
      </c>
    </row>
    <row r="5" spans="3:22" ht="12">
      <c r="C5" s="74" t="s">
        <v>19</v>
      </c>
      <c r="D5" s="74"/>
      <c r="E5" s="74"/>
      <c r="F5" s="8">
        <f>SUM(F6:F21)</f>
        <v>9137.3607499999998</v>
      </c>
      <c r="G5" s="8">
        <f t="shared" ref="G5:Q5" si="0">SUM(G6:G21)</f>
        <v>8418.0036500000006</v>
      </c>
      <c r="H5" s="8">
        <f t="shared" si="0"/>
        <v>83898.211650000012</v>
      </c>
      <c r="I5" s="8">
        <f t="shared" si="0"/>
        <v>11787.819449999999</v>
      </c>
      <c r="J5" s="8">
        <f t="shared" si="0"/>
        <v>9820.220299999999</v>
      </c>
      <c r="K5" s="8">
        <f t="shared" si="0"/>
        <v>11732.215</v>
      </c>
      <c r="L5" s="8">
        <f t="shared" si="0"/>
        <v>11683.813550000001</v>
      </c>
      <c r="M5" s="8">
        <f t="shared" si="0"/>
        <v>10756.028249999999</v>
      </c>
      <c r="N5" s="8">
        <f t="shared" si="0"/>
        <v>14142.8001</v>
      </c>
      <c r="O5" s="8">
        <f t="shared" si="0"/>
        <v>11295.990199999998</v>
      </c>
      <c r="P5" s="8">
        <f t="shared" si="0"/>
        <v>10879.494999999999</v>
      </c>
      <c r="Q5" s="8">
        <f t="shared" si="0"/>
        <v>9734.8855999999996</v>
      </c>
      <c r="R5" s="8">
        <f>SUM(R6:R21)</f>
        <v>203286.84350000002</v>
      </c>
      <c r="S5" s="8">
        <f>R5/12</f>
        <v>16940.570291666667</v>
      </c>
    </row>
    <row r="6" spans="3:22" ht="12">
      <c r="C6" s="69" t="s">
        <v>20</v>
      </c>
      <c r="D6" s="69"/>
      <c r="E6" s="69"/>
      <c r="F6" s="3">
        <v>34</v>
      </c>
      <c r="G6" s="3">
        <v>34</v>
      </c>
      <c r="H6" s="3">
        <f>'REALIZADO 2025'!F28*'PREVISTO 2026 REVISADO'!$U$4</f>
        <v>82.544549999999987</v>
      </c>
      <c r="I6" s="3">
        <f>'REALIZADO 2025'!G28*'PREVISTO 2026 REVISADO'!$U$4</f>
        <v>62.062549999999995</v>
      </c>
      <c r="J6" s="3">
        <f>'REALIZADO 2025'!H28*'PREVISTO 2026 REVISADO'!$U$4</f>
        <v>101.5949</v>
      </c>
      <c r="K6" s="3">
        <f>'REALIZADO 2025'!I28*'PREVISTO 2026 REVISADO'!$U$4</f>
        <v>39.605499999999999</v>
      </c>
      <c r="L6" s="3">
        <v>35</v>
      </c>
      <c r="M6" s="3">
        <f>'REALIZADO 2025'!K28*'PREVISTO 2026 REVISADO'!$U$4</f>
        <v>33.335499999999996</v>
      </c>
      <c r="N6" s="3">
        <f>'REALIZADO 2025'!L28*'PREVISTO 2026 REVISADO'!$U$4</f>
        <v>33.335499999999996</v>
      </c>
      <c r="O6" s="3">
        <f>'REALIZADO 2025'!M28*'PREVISTO 2026 REVISADO'!$U$4</f>
        <v>34.380499999999998</v>
      </c>
      <c r="P6" s="3">
        <f>'REALIZADO 2025'!N28*'PREVISTO 2026 REVISADO'!$U$4</f>
        <v>31.245499999999996</v>
      </c>
      <c r="Q6" s="3">
        <f>'REALIZADO 2025'!O28*'PREVISTO 2026 REVISADO'!$U$4</f>
        <v>31.517199999999999</v>
      </c>
      <c r="R6" s="25">
        <f t="shared" ref="R6:R21" si="1">SUM(F6:Q6)</f>
        <v>552.62170000000003</v>
      </c>
      <c r="S6" s="25">
        <f t="shared" ref="S6:S43" si="2">R6/12</f>
        <v>46.051808333333334</v>
      </c>
      <c r="T6" s="5"/>
    </row>
    <row r="7" spans="3:22" ht="12">
      <c r="C7" s="69" t="s">
        <v>21</v>
      </c>
      <c r="D7" s="69"/>
      <c r="E7" s="69"/>
      <c r="F7" s="3">
        <f>'REALIZADO 2025'!D29*'PREVISTO 2026 REVISADO'!$U$4</f>
        <v>0</v>
      </c>
      <c r="G7" s="3">
        <f>'REALIZADO 2025'!E29*'PREVISTO 2026 REVISADO'!$U$4</f>
        <v>0</v>
      </c>
      <c r="H7" s="3">
        <f>'REALIZADO 2025'!F29*'PREVISTO 2026 REVISADO'!$U$4</f>
        <v>196.34504999999999</v>
      </c>
      <c r="I7" s="3">
        <f>'REALIZADO 2025'!G29*'PREVISTO 2026 REVISADO'!$U$4</f>
        <v>0</v>
      </c>
      <c r="J7" s="3">
        <f>'REALIZADO 2025'!H29*'PREVISTO 2026 REVISADO'!$U$4</f>
        <v>0</v>
      </c>
      <c r="K7" s="3">
        <f>'REALIZADO 2025'!I29*'PREVISTO 2026 REVISADO'!$U$4</f>
        <v>0</v>
      </c>
      <c r="L7" s="3">
        <f>'REALIZADO 2025'!J29*'PREVISTO 2026 REVISADO'!$U$4</f>
        <v>415.90999999999997</v>
      </c>
      <c r="M7" s="3">
        <f>'REALIZADO 2025'!K29*'PREVISTO 2026 REVISADO'!$U$4</f>
        <v>176.54229999999998</v>
      </c>
      <c r="N7" s="3">
        <f>'REALIZADO 2025'!L29*'PREVISTO 2026 REVISADO'!$U$4</f>
        <v>0</v>
      </c>
      <c r="O7" s="3">
        <f>'REALIZADO 2025'!M29*'PREVISTO 2026 REVISADO'!$U$4</f>
        <v>0</v>
      </c>
      <c r="P7" s="3">
        <f>'REALIZADO 2025'!N29*'PREVISTO 2026 REVISADO'!$U$4</f>
        <v>424.68799999999993</v>
      </c>
      <c r="Q7" s="3">
        <f>'REALIZADO 2025'!O29*'PREVISTO 2026 REVISADO'!$U$4</f>
        <v>0</v>
      </c>
      <c r="R7" s="25">
        <f t="shared" si="1"/>
        <v>1213.4853499999999</v>
      </c>
      <c r="S7" s="25">
        <f t="shared" si="2"/>
        <v>101.12377916666667</v>
      </c>
      <c r="T7" s="5"/>
    </row>
    <row r="8" spans="3:22" ht="12">
      <c r="C8" s="69" t="s">
        <v>22</v>
      </c>
      <c r="D8" s="69"/>
      <c r="E8" s="69"/>
      <c r="F8" s="3">
        <f>'REALIZADO 2025'!D30*'PREVISTO 2026 REVISADO'!$U$4</f>
        <v>0</v>
      </c>
      <c r="G8" s="3">
        <f>'REALIZADO 2025'!E30*'PREVISTO 2026 REVISADO'!$U$4</f>
        <v>0</v>
      </c>
      <c r="H8" s="3">
        <f>'REALIZADO 2025'!F30*'PREVISTO 2026 REVISADO'!$U$4</f>
        <v>0</v>
      </c>
      <c r="I8" s="3">
        <f>'REALIZADO 2025'!G30*'PREVISTO 2026 REVISADO'!$U$4</f>
        <v>0</v>
      </c>
      <c r="J8" s="3">
        <f>'REALIZADO 2025'!H30*'PREVISTO 2026 REVISADO'!$U$4</f>
        <v>187.65064999999998</v>
      </c>
      <c r="K8" s="3">
        <f>'REALIZADO 2025'!I30*'PREVISTO 2026 REVISADO'!$U$4</f>
        <v>0</v>
      </c>
      <c r="L8" s="3">
        <f>'REALIZADO 2025'!J30*'PREVISTO 2026 REVISADO'!$U$4</f>
        <v>0</v>
      </c>
      <c r="M8" s="3">
        <f>'REALIZADO 2025'!K30*'PREVISTO 2026 REVISADO'!$U$4</f>
        <v>0</v>
      </c>
      <c r="N8" s="3">
        <f>'REALIZADO 2025'!L30*'PREVISTO 2026 REVISADO'!$U$4</f>
        <v>0</v>
      </c>
      <c r="O8" s="3">
        <f>'REALIZADO 2025'!M30*'PREVISTO 2026 REVISADO'!$U$4</f>
        <v>209</v>
      </c>
      <c r="P8" s="3">
        <f>'REALIZADO 2025'!N30*'PREVISTO 2026 REVISADO'!$U$4</f>
        <v>0</v>
      </c>
      <c r="Q8" s="3">
        <f>'REALIZADO 2025'!O30*'PREVISTO 2026 REVISADO'!$U$4</f>
        <v>0</v>
      </c>
      <c r="R8" s="25">
        <f t="shared" si="1"/>
        <v>396.65064999999998</v>
      </c>
      <c r="S8" s="25">
        <f t="shared" si="2"/>
        <v>33.054220833333332</v>
      </c>
      <c r="T8" s="5"/>
    </row>
    <row r="9" spans="3:22" ht="12">
      <c r="C9" s="69" t="s">
        <v>23</v>
      </c>
      <c r="D9" s="69"/>
      <c r="E9" s="69"/>
      <c r="F9" s="3">
        <f>'REALIZADO 2025'!D31*'PREVISTO 2026 REVISADO'!$U$4</f>
        <v>0</v>
      </c>
      <c r="G9" s="3">
        <f>'REALIZADO 2025'!E31*'PREVISTO 2026 REVISADO'!$U$4</f>
        <v>0</v>
      </c>
      <c r="H9" s="3">
        <f>'REALIZADO 2025'!F31*'PREVISTO 2026 REVISADO'!$U$4</f>
        <v>0</v>
      </c>
      <c r="I9" s="3">
        <f>'REALIZADO 2025'!G31*'PREVISTO 2026 REVISADO'!$U$4</f>
        <v>2612.5</v>
      </c>
      <c r="J9" s="3">
        <f>'REALIZADO 2025'!H31*'PREVISTO 2026 REVISADO'!$U$4</f>
        <v>0</v>
      </c>
      <c r="K9" s="3">
        <f>'REALIZADO 2025'!I31*'PREVISTO 2026 REVISADO'!$U$4</f>
        <v>0</v>
      </c>
      <c r="L9" s="3">
        <f>'REALIZADO 2025'!J31*'PREVISTO 2026 REVISADO'!$U$4</f>
        <v>0</v>
      </c>
      <c r="M9" s="3">
        <f>'REALIZADO 2025'!K31*'PREVISTO 2026 REVISADO'!$U$4</f>
        <v>0</v>
      </c>
      <c r="N9" s="3">
        <f>'REALIZADO 2025'!L31*'PREVISTO 2026 REVISADO'!$U$4</f>
        <v>0</v>
      </c>
      <c r="O9" s="3">
        <f>'REALIZADO 2025'!M31*'PREVISTO 2026 REVISADO'!$U$4</f>
        <v>0</v>
      </c>
      <c r="P9" s="3">
        <f>'REALIZADO 2025'!N31*'PREVISTO 2026 REVISADO'!$U$4</f>
        <v>0</v>
      </c>
      <c r="Q9" s="3">
        <f>'REALIZADO 2025'!O31*'PREVISTO 2026 REVISADO'!$U$4</f>
        <v>0</v>
      </c>
      <c r="R9" s="25">
        <f t="shared" si="1"/>
        <v>2612.5</v>
      </c>
      <c r="S9" s="25">
        <f t="shared" si="2"/>
        <v>217.70833333333334</v>
      </c>
      <c r="T9" s="5"/>
    </row>
    <row r="10" spans="3:22" ht="12">
      <c r="C10" s="69" t="s">
        <v>24</v>
      </c>
      <c r="D10" s="69"/>
      <c r="E10" s="69"/>
      <c r="F10" s="3">
        <f>'REALIZADO 2025'!D34*'PREVISTO 2026 REVISADO'!$U$4</f>
        <v>0</v>
      </c>
      <c r="G10" s="3">
        <f>'REALIZADO 2025'!E34*'PREVISTO 2026 REVISADO'!$U$4</f>
        <v>0</v>
      </c>
      <c r="H10" s="3">
        <f>'REALIZADO 2025'!F34*'PREVISTO 2026 REVISADO'!$U$4</f>
        <v>0</v>
      </c>
      <c r="I10" s="3">
        <f>'REALIZADO 2025'!G34*'PREVISTO 2026 REVISADO'!$U$4</f>
        <v>0</v>
      </c>
      <c r="J10" s="3">
        <f>'REALIZADO 2025'!H34*'PREVISTO 2026 REVISADO'!$U$4</f>
        <v>0</v>
      </c>
      <c r="K10" s="3">
        <f>'REALIZADO 2025'!I34*'PREVISTO 2026 REVISADO'!$U$4</f>
        <v>621.48239999999998</v>
      </c>
      <c r="L10" s="3">
        <f>'REALIZADO 2025'!J34*'PREVISTO 2026 REVISADO'!$U$4</f>
        <v>0</v>
      </c>
      <c r="M10" s="3">
        <f>'REALIZADO 2025'!K34*'PREVISTO 2026 REVISADO'!$U$4</f>
        <v>0</v>
      </c>
      <c r="N10" s="3">
        <f>'REALIZADO 2025'!L34*'PREVISTO 2026 REVISADO'!$U$4</f>
        <v>0</v>
      </c>
      <c r="O10" s="3">
        <f>'REALIZADO 2025'!M34*'PREVISTO 2026 REVISADO'!$U$4</f>
        <v>0</v>
      </c>
      <c r="P10" s="3">
        <f>'REALIZADO 2025'!N34*'PREVISTO 2026 REVISADO'!$U$4</f>
        <v>0</v>
      </c>
      <c r="Q10" s="3">
        <f>'REALIZADO 2025'!O34*'PREVISTO 2026 REVISADO'!$U$4</f>
        <v>0</v>
      </c>
      <c r="R10" s="25">
        <f t="shared" si="1"/>
        <v>621.48239999999998</v>
      </c>
      <c r="S10" s="25">
        <f t="shared" si="2"/>
        <v>51.790199999999999</v>
      </c>
      <c r="T10" s="5"/>
    </row>
    <row r="11" spans="3:22" ht="12">
      <c r="C11" s="69" t="s">
        <v>25</v>
      </c>
      <c r="D11" s="69"/>
      <c r="E11" s="69"/>
      <c r="F11" s="3">
        <f>'REALIZADO 2025'!D35*'PREVISTO 2026 REVISADO'!$U$4</f>
        <v>372.17674999999997</v>
      </c>
      <c r="G11" s="3">
        <f>'REALIZADO 2025'!E35*'PREVISTO 2026 REVISADO'!$U$4</f>
        <v>365.75</v>
      </c>
      <c r="H11" s="3">
        <f>'REALIZADO 2025'!F35*'PREVISTO 2026 REVISADO'!$U$4</f>
        <v>937.05150000000003</v>
      </c>
      <c r="I11" s="3">
        <f>'REALIZADO 2025'!G35*'PREVISTO 2026 REVISADO'!$U$4</f>
        <v>510.43024999999994</v>
      </c>
      <c r="J11" s="3">
        <f>'REALIZADO 2025'!H35*'PREVISTO 2026 REVISADO'!$U$4</f>
        <v>320.76274999999998</v>
      </c>
      <c r="K11" s="3">
        <f>'REALIZADO 2025'!I35*'PREVISTO 2026 REVISADO'!$U$4</f>
        <v>403.36999999999995</v>
      </c>
      <c r="L11" s="3">
        <f>'REALIZADO 2025'!J35*'PREVISTO 2026 REVISADO'!$U$4</f>
        <v>1135.7059999999999</v>
      </c>
      <c r="M11" s="3">
        <f>'REALIZADO 2025'!K35*'PREVISTO 2026 REVISADO'!$U$4</f>
        <v>406.45274999999998</v>
      </c>
      <c r="N11" s="3">
        <f>'REALIZADO 2025'!L35*'PREVISTO 2026 REVISADO'!$U$4</f>
        <v>981.5162499999999</v>
      </c>
      <c r="O11" s="3">
        <f>'REALIZADO 2025'!M35*'PREVISTO 2026 REVISADO'!$U$4</f>
        <v>919.80899999999997</v>
      </c>
      <c r="P11" s="3">
        <f>'REALIZADO 2025'!N35*'PREVISTO 2026 REVISADO'!$U$4</f>
        <v>558.1345</v>
      </c>
      <c r="Q11" s="3">
        <f>'REALIZADO 2025'!O35*'PREVISTO 2026 REVISADO'!$U$4</f>
        <v>328.75700000000001</v>
      </c>
      <c r="R11" s="25">
        <f t="shared" si="1"/>
        <v>7239.9167499999994</v>
      </c>
      <c r="S11" s="25">
        <f t="shared" si="2"/>
        <v>603.32639583333332</v>
      </c>
      <c r="T11" s="5"/>
    </row>
    <row r="12" spans="3:22" ht="12">
      <c r="C12" s="69" t="s">
        <v>26</v>
      </c>
      <c r="D12" s="69"/>
      <c r="E12" s="69"/>
      <c r="F12" s="3">
        <f>'REALIZADO 2025'!D36*'PREVISTO 2026 REVISADO'!$U$4</f>
        <v>522.5</v>
      </c>
      <c r="G12" s="3">
        <f>'REALIZADO 2025'!E36*'PREVISTO 2026 REVISADO'!$U$4</f>
        <v>0</v>
      </c>
      <c r="H12" s="3">
        <f>'REALIZADO 2025'!F36*'PREVISTO 2026 REVISADO'!$U$4</f>
        <v>522.5</v>
      </c>
      <c r="I12" s="3">
        <f>'REALIZADO 2025'!G36*'PREVISTO 2026 REVISADO'!$U$4</f>
        <v>522.5</v>
      </c>
      <c r="J12" s="3">
        <f>'REALIZADO 2025'!H36*'PREVISTO 2026 REVISADO'!$U$4</f>
        <v>522.5</v>
      </c>
      <c r="K12" s="3">
        <f>'REALIZADO 2025'!I36*'PREVISTO 2026 REVISADO'!$U$4</f>
        <v>522.5</v>
      </c>
      <c r="L12" s="3">
        <f>'REALIZADO 2025'!J36*'PREVISTO 2026 REVISADO'!$U$4</f>
        <v>0</v>
      </c>
      <c r="M12" s="3">
        <f>'REALIZADO 2025'!K36*'PREVISTO 2026 REVISADO'!$U$4</f>
        <v>522.5</v>
      </c>
      <c r="N12" s="3">
        <f>'REALIZADO 2025'!L36*'PREVISTO 2026 REVISADO'!$U$4</f>
        <v>522.5</v>
      </c>
      <c r="O12" s="3">
        <f>'REALIZADO 2025'!M36*'PREVISTO 2026 REVISADO'!$U$4</f>
        <v>522.5</v>
      </c>
      <c r="P12" s="3">
        <f>'REALIZADO 2025'!N36*'PREVISTO 2026 REVISADO'!$U$4</f>
        <v>522.5</v>
      </c>
      <c r="Q12" s="3">
        <f>'REALIZADO 2025'!O36*'PREVISTO 2026 REVISADO'!$U$4</f>
        <v>0</v>
      </c>
      <c r="R12" s="25">
        <f t="shared" si="1"/>
        <v>4702.5</v>
      </c>
      <c r="S12" s="25">
        <f t="shared" si="2"/>
        <v>391.875</v>
      </c>
      <c r="T12" s="5"/>
    </row>
    <row r="13" spans="3:22" ht="12">
      <c r="C13" s="69" t="s">
        <v>27</v>
      </c>
      <c r="D13" s="69"/>
      <c r="E13" s="69"/>
      <c r="F13" s="3">
        <f>'REALIZADO 2025'!D37*'PREVISTO 2026 REVISADO'!$U$4</f>
        <v>0</v>
      </c>
      <c r="G13" s="3">
        <f>'REALIZADO 2025'!E37*'PREVISTO 2026 REVISADO'!$U$4</f>
        <v>0</v>
      </c>
      <c r="H13" s="3">
        <f>'REALIZADO 2025'!F37*'PREVISTO 2026 REVISADO'!$U$4</f>
        <v>0</v>
      </c>
      <c r="I13" s="3">
        <f>'REALIZADO 2025'!G37*'PREVISTO 2026 REVISADO'!$U$4</f>
        <v>0</v>
      </c>
      <c r="J13" s="3">
        <f>'REALIZADO 2025'!H37*'PREVISTO 2026 REVISADO'!$U$4</f>
        <v>0</v>
      </c>
      <c r="K13" s="3">
        <f>'REALIZADO 2025'!I37*'PREVISTO 2026 REVISADO'!$U$4</f>
        <v>0</v>
      </c>
      <c r="L13" s="3">
        <f>'REALIZADO 2025'!J37*'PREVISTO 2026 REVISADO'!$U$4</f>
        <v>0</v>
      </c>
      <c r="M13" s="3">
        <f>'REALIZADO 2025'!K37*'PREVISTO 2026 REVISADO'!$U$4</f>
        <v>0</v>
      </c>
      <c r="N13" s="3">
        <f>'REALIZADO 2025'!L37*'PREVISTO 2026 REVISADO'!$U$4</f>
        <v>0</v>
      </c>
      <c r="O13" s="3">
        <f>'REALIZADO 2025'!M37*'PREVISTO 2026 REVISADO'!$U$4</f>
        <v>0</v>
      </c>
      <c r="P13" s="3">
        <f>'REALIZADO 2025'!N37*'PREVISTO 2026 REVISADO'!$U$4</f>
        <v>0</v>
      </c>
      <c r="Q13" s="3">
        <f>'REALIZADO 2025'!O37*'PREVISTO 2026 REVISADO'!$U$4</f>
        <v>1418.4307499999998</v>
      </c>
      <c r="R13" s="25">
        <f t="shared" si="1"/>
        <v>1418.4307499999998</v>
      </c>
      <c r="S13" s="25">
        <f t="shared" si="2"/>
        <v>118.20256249999998</v>
      </c>
      <c r="T13" s="5"/>
    </row>
    <row r="14" spans="3:22" ht="12">
      <c r="C14" s="69" t="s">
        <v>28</v>
      </c>
      <c r="D14" s="69"/>
      <c r="E14" s="69"/>
      <c r="F14" s="3">
        <f t="shared" ref="F14:Q14" si="3">5043.17*$U$4</f>
        <v>5270.11265</v>
      </c>
      <c r="G14" s="3">
        <f t="shared" si="3"/>
        <v>5270.11265</v>
      </c>
      <c r="H14" s="3">
        <f t="shared" si="3"/>
        <v>5270.11265</v>
      </c>
      <c r="I14" s="3">
        <f t="shared" si="3"/>
        <v>5270.11265</v>
      </c>
      <c r="J14" s="3">
        <f t="shared" si="3"/>
        <v>5270.11265</v>
      </c>
      <c r="K14" s="3">
        <f t="shared" si="3"/>
        <v>5270.11265</v>
      </c>
      <c r="L14" s="3">
        <f t="shared" si="3"/>
        <v>5270.11265</v>
      </c>
      <c r="M14" s="3">
        <f t="shared" si="3"/>
        <v>5270.11265</v>
      </c>
      <c r="N14" s="3">
        <f t="shared" si="3"/>
        <v>5270.11265</v>
      </c>
      <c r="O14" s="3">
        <f t="shared" si="3"/>
        <v>5270.11265</v>
      </c>
      <c r="P14" s="3">
        <f t="shared" si="3"/>
        <v>5270.11265</v>
      </c>
      <c r="Q14" s="3">
        <f t="shared" si="3"/>
        <v>5270.11265</v>
      </c>
      <c r="R14" s="25">
        <f t="shared" si="1"/>
        <v>63241.351800000011</v>
      </c>
      <c r="S14" s="25">
        <f t="shared" si="2"/>
        <v>5270.1126500000009</v>
      </c>
      <c r="T14" s="5"/>
    </row>
    <row r="15" spans="3:22" ht="12">
      <c r="C15" s="69" t="s">
        <v>29</v>
      </c>
      <c r="D15" s="69"/>
      <c r="E15" s="69"/>
      <c r="F15" s="3">
        <f t="shared" ref="F15:Q15" si="4">2570.4*$U$4</f>
        <v>2686.0679999999998</v>
      </c>
      <c r="G15" s="3">
        <f t="shared" si="4"/>
        <v>2686.0679999999998</v>
      </c>
      <c r="H15" s="3">
        <f t="shared" si="4"/>
        <v>2686.0679999999998</v>
      </c>
      <c r="I15" s="3">
        <f t="shared" si="4"/>
        <v>2686.0679999999998</v>
      </c>
      <c r="J15" s="3">
        <f t="shared" si="4"/>
        <v>2686.0679999999998</v>
      </c>
      <c r="K15" s="3">
        <f t="shared" si="4"/>
        <v>2686.0679999999998</v>
      </c>
      <c r="L15" s="3">
        <f t="shared" si="4"/>
        <v>2686.0679999999998</v>
      </c>
      <c r="M15" s="3">
        <f t="shared" si="4"/>
        <v>2686.0679999999998</v>
      </c>
      <c r="N15" s="3">
        <f t="shared" si="4"/>
        <v>2686.0679999999998</v>
      </c>
      <c r="O15" s="3">
        <f t="shared" si="4"/>
        <v>2686.0679999999998</v>
      </c>
      <c r="P15" s="3">
        <f t="shared" si="4"/>
        <v>2686.0679999999998</v>
      </c>
      <c r="Q15" s="3">
        <f t="shared" si="4"/>
        <v>2686.0679999999998</v>
      </c>
      <c r="R15" s="25">
        <f t="shared" si="1"/>
        <v>32232.815999999995</v>
      </c>
      <c r="S15" s="25">
        <f t="shared" si="2"/>
        <v>2686.0679999999998</v>
      </c>
      <c r="T15" s="5"/>
    </row>
    <row r="16" spans="3:22" ht="12">
      <c r="C16" s="69" t="s">
        <v>30</v>
      </c>
      <c r="D16" s="69"/>
      <c r="E16" s="69"/>
      <c r="F16" s="3">
        <f>'REALIZADO 2025'!D40*'PREVISTO 2026 REVISADO'!$U$4</f>
        <v>0</v>
      </c>
      <c r="G16" s="3">
        <f>'REALIZADO 2025'!E40*'PREVISTO 2026 REVISADO'!$U$4</f>
        <v>0</v>
      </c>
      <c r="H16" s="3">
        <f>'REALIZADO 2025'!F40*'PREVISTO 2026 REVISADO'!$U$4</f>
        <v>68382.051649999994</v>
      </c>
      <c r="I16" s="3">
        <f>'REALIZADO 2025'!G40*'PREVISTO 2026 REVISADO'!$U$4</f>
        <v>0</v>
      </c>
      <c r="J16" s="3">
        <f>'REALIZADO 2025'!H40*'PREVISTO 2026 REVISADO'!$U$4</f>
        <v>0</v>
      </c>
      <c r="K16" s="3">
        <f>'REALIZADO 2025'!I40*'PREVISTO 2026 REVISADO'!$U$4</f>
        <v>0</v>
      </c>
      <c r="L16" s="3">
        <f>'REALIZADO 2025'!J40*'PREVISTO 2026 REVISADO'!$U$4</f>
        <v>0</v>
      </c>
      <c r="M16" s="3">
        <f>'REALIZADO 2025'!K40*'PREVISTO 2026 REVISADO'!$U$4</f>
        <v>0</v>
      </c>
      <c r="N16" s="3">
        <f>'REALIZADO 2025'!L40*'PREVISTO 2026 REVISADO'!$U$4</f>
        <v>0</v>
      </c>
      <c r="O16" s="3">
        <f>'REALIZADO 2025'!M40*'PREVISTO 2026 REVISADO'!$U$4</f>
        <v>0</v>
      </c>
      <c r="P16" s="3">
        <f>'REALIZADO 2025'!N40*'PREVISTO 2026 REVISADO'!$U$4</f>
        <v>0</v>
      </c>
      <c r="Q16" s="3">
        <f>'REALIZADO 2025'!O40*'PREVISTO 2026 REVISADO'!$U$4</f>
        <v>0</v>
      </c>
      <c r="R16" s="25">
        <f t="shared" si="1"/>
        <v>68382.051649999994</v>
      </c>
      <c r="S16" s="25">
        <f t="shared" si="2"/>
        <v>5698.5043041666659</v>
      </c>
      <c r="T16" s="5"/>
    </row>
    <row r="17" spans="3:22" ht="12">
      <c r="C17" s="69" t="s">
        <v>31</v>
      </c>
      <c r="D17" s="69"/>
      <c r="E17" s="69"/>
      <c r="F17" s="3">
        <f>'REALIZADO 2025'!D41*'PREVISTO 2026 REVISADO'!$U$4</f>
        <v>0</v>
      </c>
      <c r="G17" s="3">
        <f>'REALIZADO 2025'!E41*'PREVISTO 2026 REVISADO'!$U$4</f>
        <v>0</v>
      </c>
      <c r="H17" s="3">
        <f>'REALIZADO 2025'!F41*'PREVISTO 2026 REVISADO'!$U$4</f>
        <v>5540.2660499999993</v>
      </c>
      <c r="I17" s="3">
        <f>'REALIZADO 2025'!G41*'PREVISTO 2026 REVISADO'!$U$4</f>
        <v>0</v>
      </c>
      <c r="J17" s="3">
        <f>'REALIZADO 2025'!H41*'PREVISTO 2026 REVISADO'!$U$4</f>
        <v>0</v>
      </c>
      <c r="K17" s="3">
        <f>'REALIZADO 2025'!I41*'PREVISTO 2026 REVISADO'!$U$4</f>
        <v>0</v>
      </c>
      <c r="L17" s="3">
        <f>'REALIZADO 2025'!J41*'PREVISTO 2026 REVISADO'!$U$4</f>
        <v>0</v>
      </c>
      <c r="M17" s="3">
        <f>'REALIZADO 2025'!K41*'PREVISTO 2026 REVISADO'!$U$4</f>
        <v>0</v>
      </c>
      <c r="N17" s="3">
        <f>'REALIZADO 2025'!L41*'PREVISTO 2026 REVISADO'!$U$4</f>
        <v>0</v>
      </c>
      <c r="O17" s="3">
        <f>'REALIZADO 2025'!M41*'PREVISTO 2026 REVISADO'!$U$4</f>
        <v>0</v>
      </c>
      <c r="P17" s="3">
        <f>'REALIZADO 2025'!N41*'PREVISTO 2026 REVISADO'!$U$4</f>
        <v>0</v>
      </c>
      <c r="Q17" s="3">
        <f>'REALIZADO 2025'!O41*'PREVISTO 2026 REVISADO'!$U$4</f>
        <v>0</v>
      </c>
      <c r="R17" s="25">
        <f t="shared" si="1"/>
        <v>5540.2660499999993</v>
      </c>
      <c r="S17" s="25">
        <f t="shared" si="2"/>
        <v>461.68883749999992</v>
      </c>
      <c r="T17" s="5"/>
    </row>
    <row r="18" spans="3:22" ht="12">
      <c r="C18" s="69" t="s">
        <v>32</v>
      </c>
      <c r="D18" s="69"/>
      <c r="E18" s="69"/>
      <c r="F18" s="3">
        <f>'REALIZADO 2025'!D42*'PREVISTO 2026 REVISADO'!$U$4</f>
        <v>0</v>
      </c>
      <c r="G18" s="3">
        <f>'REALIZADO 2025'!E42*'PREVISTO 2026 REVISADO'!$U$4</f>
        <v>0</v>
      </c>
      <c r="H18" s="3">
        <f>'REALIZADO 2025'!F42*'PREVISTO 2026 REVISADO'!$U$4</f>
        <v>0</v>
      </c>
      <c r="I18" s="3">
        <f>'REALIZADO 2025'!G42*'PREVISTO 2026 REVISADO'!$U$4</f>
        <v>0</v>
      </c>
      <c r="J18" s="3">
        <f>'REALIZADO 2025'!H42*'PREVISTO 2026 REVISADO'!$U$4</f>
        <v>731.53134999999997</v>
      </c>
      <c r="K18" s="3">
        <f>'REALIZADO 2025'!I42*'PREVISTO 2026 REVISADO'!$U$4</f>
        <v>0</v>
      </c>
      <c r="L18" s="3">
        <f>'REALIZADO 2025'!J42*'PREVISTO 2026 REVISADO'!$U$4</f>
        <v>0</v>
      </c>
      <c r="M18" s="3">
        <f>'REALIZADO 2025'!K42*'PREVISTO 2026 REVISADO'!$U$4</f>
        <v>0</v>
      </c>
      <c r="N18" s="3">
        <f>'REALIZADO 2025'!L42*'PREVISTO 2026 REVISADO'!$U$4</f>
        <v>0</v>
      </c>
      <c r="O18" s="3">
        <f>'REALIZADO 2025'!M42*'PREVISTO 2026 REVISADO'!$U$4</f>
        <v>0</v>
      </c>
      <c r="P18" s="3">
        <f>'REALIZADO 2025'!N42*'PREVISTO 2026 REVISADO'!$U$4</f>
        <v>0</v>
      </c>
      <c r="Q18" s="3">
        <f>'REALIZADO 2025'!O42*'PREVISTO 2026 REVISADO'!$U$4</f>
        <v>0</v>
      </c>
      <c r="R18" s="25">
        <f t="shared" si="1"/>
        <v>731.53134999999997</v>
      </c>
      <c r="S18" s="25">
        <f t="shared" si="2"/>
        <v>60.960945833333334</v>
      </c>
      <c r="T18" s="5"/>
    </row>
    <row r="19" spans="3:22" ht="12">
      <c r="C19" s="69" t="s">
        <v>33</v>
      </c>
      <c r="D19" s="69"/>
      <c r="E19" s="69"/>
      <c r="F19" s="3">
        <f>'REALIZADO 2025'!D43*'PREVISTO 2026 REVISADO'!$U$4</f>
        <v>0</v>
      </c>
      <c r="G19" s="3">
        <f>'REALIZADO 2025'!E43*'PREVISTO 2026 REVISADO'!$U$4</f>
        <v>0</v>
      </c>
      <c r="H19" s="3">
        <f>'REALIZADO 2025'!F43*'PREVISTO 2026 REVISADO'!$U$4</f>
        <v>0</v>
      </c>
      <c r="I19" s="3">
        <f>'REALIZADO 2025'!G43*'PREVISTO 2026 REVISADO'!$U$4</f>
        <v>0</v>
      </c>
      <c r="J19" s="3">
        <f>'REALIZADO 2025'!H43*'PREVISTO 2026 REVISADO'!$U$4</f>
        <v>0</v>
      </c>
      <c r="K19" s="3">
        <f>'REALIZADO 2025'!I43*'PREVISTO 2026 REVISADO'!$U$4</f>
        <v>1386.64185</v>
      </c>
      <c r="L19" s="3">
        <f>'REALIZADO 2025'!J43*'PREVISTO 2026 REVISADO'!$U$4</f>
        <v>1386.64185</v>
      </c>
      <c r="M19" s="3">
        <f>'REALIZADO 2025'!K43*'PREVISTO 2026 REVISADO'!$U$4</f>
        <v>1386.64185</v>
      </c>
      <c r="N19" s="3">
        <f>'REALIZADO 2025'!L43*'PREVISTO 2026 REVISADO'!$U$4</f>
        <v>1386.64185</v>
      </c>
      <c r="O19" s="3">
        <f>'REALIZADO 2025'!M43*'PREVISTO 2026 REVISADO'!$U$4</f>
        <v>1386.64185</v>
      </c>
      <c r="P19" s="3">
        <f>'REALIZADO 2025'!N43*'PREVISTO 2026 REVISADO'!$U$4</f>
        <v>1386.7463499999999</v>
      </c>
      <c r="Q19" s="3">
        <f>'REALIZADO 2025'!O43*'PREVISTO 2026 REVISADO'!$U$4</f>
        <v>0</v>
      </c>
      <c r="R19" s="25">
        <f t="shared" si="1"/>
        <v>8319.9555999999993</v>
      </c>
      <c r="S19" s="25">
        <f t="shared" si="2"/>
        <v>693.32963333333328</v>
      </c>
      <c r="T19" s="5"/>
    </row>
    <row r="20" spans="3:22" ht="12">
      <c r="C20" s="69" t="s">
        <v>34</v>
      </c>
      <c r="D20" s="69"/>
      <c r="E20" s="69"/>
      <c r="F20" s="3">
        <f>'REALIZADO 2025'!D44*'PREVISTO 2026 REVISADO'!$U$4</f>
        <v>252.50334999999998</v>
      </c>
      <c r="G20" s="3">
        <f>'REALIZADO 2025'!E44*'PREVISTO 2026 REVISADO'!$U$4</f>
        <v>62.072999999999993</v>
      </c>
      <c r="H20" s="3">
        <f>'REALIZADO 2025'!F44*'PREVISTO 2026 REVISADO'!$U$4</f>
        <v>281.2722</v>
      </c>
      <c r="I20" s="3">
        <f>'REALIZADO 2025'!G44*'PREVISTO 2026 REVISADO'!$U$4</f>
        <v>124.14599999999999</v>
      </c>
      <c r="J20" s="3">
        <f>'REALIZADO 2025'!H44*'PREVISTO 2026 REVISADO'!$U$4</f>
        <v>0</v>
      </c>
      <c r="K20" s="3">
        <f>'REALIZADO 2025'!I44*'PREVISTO 2026 REVISADO'!$U$4</f>
        <v>802.43459999999993</v>
      </c>
      <c r="L20" s="3">
        <f>'REALIZADO 2025'!J44*'PREVISTO 2026 REVISADO'!$U$4</f>
        <v>754.37504999999999</v>
      </c>
      <c r="M20" s="3">
        <f>'REALIZADO 2025'!K44*'PREVISTO 2026 REVISADO'!$U$4</f>
        <v>274.37520000000001</v>
      </c>
      <c r="N20" s="3">
        <f>'REALIZADO 2025'!L44*'PREVISTO 2026 REVISADO'!$U$4</f>
        <v>0</v>
      </c>
      <c r="O20" s="3">
        <f>'REALIZADO 2025'!M44*'PREVISTO 2026 REVISADO'!$U$4</f>
        <v>267.47820000000002</v>
      </c>
      <c r="P20" s="3">
        <f>'REALIZADO 2025'!N44*'PREVISTO 2026 REVISADO'!$U$4</f>
        <v>0</v>
      </c>
      <c r="Q20" s="3">
        <f>'REALIZADO 2025'!O44*'PREVISTO 2026 REVISADO'!$U$4</f>
        <v>0</v>
      </c>
      <c r="R20" s="25">
        <f t="shared" si="1"/>
        <v>2818.6576</v>
      </c>
      <c r="S20" s="25">
        <f t="shared" si="2"/>
        <v>234.88813333333334</v>
      </c>
      <c r="T20" s="5"/>
    </row>
    <row r="21" spans="3:22" ht="12">
      <c r="C21" s="69" t="s">
        <v>35</v>
      </c>
      <c r="D21" s="69"/>
      <c r="E21" s="69"/>
      <c r="F21" s="3">
        <f>'REALIZADO 2025'!D45*'PREVISTO 2026 REVISADO'!$U$4</f>
        <v>0</v>
      </c>
      <c r="G21" s="3">
        <f>'REALIZADO 2025'!E45*'PREVISTO 2026 REVISADO'!$U$4</f>
        <v>0</v>
      </c>
      <c r="H21" s="3">
        <f>'REALIZADO 2025'!F45*'PREVISTO 2026 REVISADO'!$U$4</f>
        <v>0</v>
      </c>
      <c r="I21" s="3">
        <f>'REALIZADO 2025'!G45*'PREVISTO 2026 REVISADO'!$U$4</f>
        <v>0</v>
      </c>
      <c r="J21" s="3">
        <f>'REALIZADO 2025'!H45*'PREVISTO 2026 REVISADO'!$U$4</f>
        <v>0</v>
      </c>
      <c r="K21" s="3">
        <f>'REALIZADO 2025'!I45*'PREVISTO 2026 REVISADO'!$U$4</f>
        <v>0</v>
      </c>
      <c r="L21" s="3">
        <f>'REALIZADO 2025'!J45*'PREVISTO 2026 REVISADO'!$U$4</f>
        <v>0</v>
      </c>
      <c r="M21" s="3">
        <f>'REALIZADO 2025'!K45*'PREVISTO 2026 REVISADO'!$U$4</f>
        <v>0</v>
      </c>
      <c r="N21" s="3">
        <f>'REALIZADO 2025'!L45*'PREVISTO 2026 REVISADO'!$U$4</f>
        <v>3262.6258499999999</v>
      </c>
      <c r="O21" s="3">
        <f>'REALIZADO 2025'!M45*'PREVISTO 2026 REVISADO'!$U$4</f>
        <v>0</v>
      </c>
      <c r="P21" s="3">
        <f>'REALIZADO 2025'!N45*'PREVISTO 2026 REVISADO'!$U$4</f>
        <v>0</v>
      </c>
      <c r="Q21" s="3">
        <f>'REALIZADO 2025'!O45*'PREVISTO 2026 REVISADO'!$U$4</f>
        <v>0</v>
      </c>
      <c r="R21" s="25">
        <f t="shared" si="1"/>
        <v>3262.6258499999999</v>
      </c>
      <c r="S21" s="25">
        <f t="shared" si="2"/>
        <v>271.88548750000001</v>
      </c>
      <c r="T21" s="5"/>
    </row>
    <row r="22" spans="3:22" ht="12">
      <c r="C22" s="78" t="s">
        <v>36</v>
      </c>
      <c r="D22" s="78"/>
      <c r="E22" s="78"/>
      <c r="F22" s="7">
        <f>SUM(F23:F37)</f>
        <v>154479.97080000001</v>
      </c>
      <c r="G22" s="7">
        <f t="shared" ref="G22:Q22" si="5">SUM(G23:G37)</f>
        <v>112015.20240000001</v>
      </c>
      <c r="H22" s="7">
        <f t="shared" si="5"/>
        <v>94533.512400000007</v>
      </c>
      <c r="I22" s="7">
        <f t="shared" si="5"/>
        <v>129753.64080000001</v>
      </c>
      <c r="J22" s="7">
        <f t="shared" si="5"/>
        <v>99742.989600000015</v>
      </c>
      <c r="K22" s="7">
        <f t="shared" si="5"/>
        <v>125942.12639999998</v>
      </c>
      <c r="L22" s="7">
        <f t="shared" si="5"/>
        <v>124648.0704</v>
      </c>
      <c r="M22" s="7">
        <f t="shared" si="5"/>
        <v>100689.32880000002</v>
      </c>
      <c r="N22" s="7">
        <f t="shared" si="5"/>
        <v>114748.04520000001</v>
      </c>
      <c r="O22" s="7">
        <f t="shared" si="5"/>
        <v>109260.1764</v>
      </c>
      <c r="P22" s="7">
        <f t="shared" si="5"/>
        <v>113782.26600000002</v>
      </c>
      <c r="Q22" s="7">
        <f t="shared" si="5"/>
        <v>135303.16680000001</v>
      </c>
      <c r="R22" s="10">
        <f>SUM(R23:R37)</f>
        <v>1483394.4444000002</v>
      </c>
      <c r="S22" s="27">
        <f>R22/12</f>
        <v>123616.20370000001</v>
      </c>
      <c r="T22" s="15" t="s">
        <v>18</v>
      </c>
      <c r="U22" s="16">
        <v>1.08</v>
      </c>
      <c r="V22" s="17">
        <v>0.08</v>
      </c>
    </row>
    <row r="23" spans="3:22" ht="12">
      <c r="C23" s="69" t="s">
        <v>37</v>
      </c>
      <c r="D23" s="69"/>
      <c r="E23" s="69"/>
      <c r="F23" s="3">
        <f>'REALIZADO 2025'!D47*'PREVISTO 2026 REVISADO'!$U$22</f>
        <v>52560.36</v>
      </c>
      <c r="G23" s="3">
        <f>'REALIZADO 2025'!E47*'PREVISTO 2026 REVISADO'!$U$22</f>
        <v>50335.560000000005</v>
      </c>
      <c r="H23" s="3">
        <f>'REALIZADO 2025'!F47*'PREVISTO 2026 REVISADO'!$U$22</f>
        <v>47781.36</v>
      </c>
      <c r="I23" s="3">
        <f>'REALIZADO 2025'!G47*'PREVISTO 2026 REVISADO'!$U$22</f>
        <v>51606.720000000001</v>
      </c>
      <c r="J23" s="3">
        <f>'REALIZADO 2025'!H47*'PREVISTO 2026 REVISADO'!$U$22</f>
        <v>47565.36</v>
      </c>
      <c r="K23" s="3">
        <f>'REALIZADO 2025'!I47*'PREVISTO 2026 REVISADO'!$U$22</f>
        <v>51570.432000000008</v>
      </c>
      <c r="L23" s="3">
        <f>'REALIZADO 2025'!J47*'PREVISTO 2026 REVISADO'!$U$22</f>
        <v>52953.48</v>
      </c>
      <c r="M23" s="3">
        <f>'REALIZADO 2025'!K47*'PREVISTO 2026 REVISADO'!$U$22</f>
        <v>47341.8</v>
      </c>
      <c r="N23" s="3">
        <f>'REALIZADO 2025'!L47*'PREVISTO 2026 REVISADO'!$U$22</f>
        <v>47569.464000000007</v>
      </c>
      <c r="O23" s="3">
        <f>'REALIZADO 2025'!M47*'PREVISTO 2026 REVISADO'!$U$22</f>
        <v>51982.560000000005</v>
      </c>
      <c r="P23" s="3">
        <f>'REALIZADO 2025'!N47*'PREVISTO 2026 REVISADO'!$U$22</f>
        <v>57653.640000000007</v>
      </c>
      <c r="Q23" s="3">
        <f>'REALIZADO 2025'!O47*'PREVISTO 2026 REVISADO'!$U$22</f>
        <v>57690.36</v>
      </c>
      <c r="R23" s="25">
        <f>SUM(F23:Q23)</f>
        <v>616611.09600000002</v>
      </c>
      <c r="S23" s="25">
        <f t="shared" si="2"/>
        <v>51384.258000000002</v>
      </c>
      <c r="T23" s="5"/>
    </row>
    <row r="24" spans="3:22" ht="12">
      <c r="C24" s="69" t="s">
        <v>38</v>
      </c>
      <c r="D24" s="69"/>
      <c r="E24" s="69"/>
      <c r="F24" s="3">
        <f>'REALIZADO 2025'!D48*'PREVISTO 2026 REVISADO'!$U$22</f>
        <v>23252.497200000002</v>
      </c>
      <c r="G24" s="3">
        <f>'REALIZADO 2025'!E48*'PREVISTO 2026 REVISADO'!$U$22</f>
        <v>15102.039600000002</v>
      </c>
      <c r="H24" s="3">
        <f>'REALIZADO 2025'!F48*'PREVISTO 2026 REVISADO'!$U$22</f>
        <v>6936.1164000000008</v>
      </c>
      <c r="I24" s="3">
        <f>'REALIZADO 2025'!G48*'PREVISTO 2026 REVISADO'!$U$22</f>
        <v>23643.932400000002</v>
      </c>
      <c r="J24" s="3">
        <f>'REALIZADO 2025'!H48*'PREVISTO 2026 REVISADO'!$U$22</f>
        <v>16979.241600000001</v>
      </c>
      <c r="K24" s="3">
        <f>'REALIZADO 2025'!I48*'PREVISTO 2026 REVISADO'!$U$22</f>
        <v>21597.6024</v>
      </c>
      <c r="L24" s="3">
        <f>'REALIZADO 2025'!J48*'PREVISTO 2026 REVISADO'!$U$22</f>
        <v>16055.701200000001</v>
      </c>
      <c r="M24" s="3">
        <f>'REALIZADO 2025'!K48*'PREVISTO 2026 REVISADO'!$U$22</f>
        <v>17160.498000000003</v>
      </c>
      <c r="N24" s="3">
        <f>'REALIZADO 2025'!L48*'PREVISTO 2026 REVISADO'!$U$22</f>
        <v>16563.841199999999</v>
      </c>
      <c r="O24" s="3">
        <f>'REALIZADO 2025'!M48*'PREVISTO 2026 REVISADO'!$U$22</f>
        <v>17580.941999999999</v>
      </c>
      <c r="P24" s="3">
        <f>'REALIZADO 2025'!N48*'PREVISTO 2026 REVISADO'!$U$22</f>
        <v>18011.2356</v>
      </c>
      <c r="Q24" s="3">
        <f>'REALIZADO 2025'!O48*'PREVISTO 2026 REVISADO'!$U$22</f>
        <v>17840.4444</v>
      </c>
      <c r="R24" s="25">
        <f>SUM(F24:Q24)</f>
        <v>210724.09200000003</v>
      </c>
      <c r="S24" s="25">
        <f t="shared" si="2"/>
        <v>17560.341000000004</v>
      </c>
      <c r="T24" s="5"/>
    </row>
    <row r="25" spans="3:22" ht="12">
      <c r="C25" s="69" t="s">
        <v>39</v>
      </c>
      <c r="D25" s="69"/>
      <c r="E25" s="69"/>
      <c r="F25" s="3">
        <f>'REALIZADO 2025'!D49*'PREVISTO 2026 REVISADO'!$U$22</f>
        <v>77.652000000000015</v>
      </c>
      <c r="G25" s="3">
        <f>'REALIZADO 2025'!E49*'PREVISTO 2026 REVISADO'!$U$22</f>
        <v>847.41120000000001</v>
      </c>
      <c r="H25" s="3">
        <f>'REALIZADO 2025'!F49*'PREVISTO 2026 REVISADO'!$U$22</f>
        <v>342.91079999999999</v>
      </c>
      <c r="I25" s="3">
        <f>'REALIZADO 2025'!G49*'PREVISTO 2026 REVISADO'!$U$22</f>
        <v>528.44400000000007</v>
      </c>
      <c r="J25" s="3">
        <f>'REALIZADO 2025'!H49*'PREVISTO 2026 REVISADO'!$U$22</f>
        <v>1798.74</v>
      </c>
      <c r="K25" s="3">
        <f>'REALIZADO 2025'!I49*'PREVISTO 2026 REVISADO'!$U$22</f>
        <v>1893.7800000000002</v>
      </c>
      <c r="L25" s="3">
        <f>'REALIZADO 2025'!J49*'PREVISTO 2026 REVISADO'!$U$22</f>
        <v>539.78399999999999</v>
      </c>
      <c r="M25" s="3">
        <f>'REALIZADO 2025'!K49*'PREVISTO 2026 REVISADO'!$U$22</f>
        <v>0</v>
      </c>
      <c r="N25" s="3">
        <f>'REALIZADO 2025'!L49*'PREVISTO 2026 REVISADO'!$U$22</f>
        <v>400.58280000000008</v>
      </c>
      <c r="O25" s="3">
        <f>'REALIZADO 2025'!M49*'PREVISTO 2026 REVISADO'!$U$22</f>
        <v>0</v>
      </c>
      <c r="P25" s="3">
        <f>'REALIZADO 2025'!N49*'PREVISTO 2026 REVISADO'!$U$22</f>
        <v>1374.4620000000002</v>
      </c>
      <c r="Q25" s="3">
        <f>'REALIZADO 2025'!O49*'PREVISTO 2026 REVISADO'!$U$22</f>
        <v>1808.298</v>
      </c>
      <c r="R25" s="25">
        <v>12000</v>
      </c>
      <c r="S25" s="25">
        <f t="shared" si="2"/>
        <v>1000</v>
      </c>
      <c r="T25" s="5"/>
    </row>
    <row r="26" spans="3:22" ht="12">
      <c r="C26" s="69" t="s">
        <v>40</v>
      </c>
      <c r="D26" s="69"/>
      <c r="E26" s="69"/>
      <c r="F26" s="3">
        <f>'REALIZADO 2025'!D50*'PREVISTO 2026 REVISADO'!$U$22</f>
        <v>266.14440000000002</v>
      </c>
      <c r="G26" s="3">
        <f>'REALIZADO 2025'!E50*'PREVISTO 2026 REVISADO'!$U$22</f>
        <v>263.25</v>
      </c>
      <c r="H26" s="3">
        <f>'REALIZADO 2025'!F50*'PREVISTO 2026 REVISADO'!$U$22</f>
        <v>291.56760000000003</v>
      </c>
      <c r="I26" s="3">
        <f>'REALIZADO 2025'!G50*'PREVISTO 2026 REVISADO'!$U$22</f>
        <v>278.78039999999999</v>
      </c>
      <c r="J26" s="3">
        <f>'REALIZADO 2025'!H50*'PREVISTO 2026 REVISADO'!$U$22</f>
        <v>235.62360000000001</v>
      </c>
      <c r="K26" s="3">
        <f>'REALIZADO 2025'!I50*'PREVISTO 2026 REVISADO'!$U$22</f>
        <v>247.70880000000002</v>
      </c>
      <c r="L26" s="3">
        <f>'REALIZADO 2025'!J50*'PREVISTO 2026 REVISADO'!$U$22</f>
        <v>248.4</v>
      </c>
      <c r="M26" s="3">
        <f>'REALIZADO 2025'!K50*'PREVISTO 2026 REVISADO'!$U$22</f>
        <v>248.4</v>
      </c>
      <c r="N26" s="3">
        <f>'REALIZADO 2025'!L50*'PREVISTO 2026 REVISADO'!$U$22</f>
        <v>422.20440000000002</v>
      </c>
      <c r="O26" s="3">
        <f>'REALIZADO 2025'!M50*'PREVISTO 2026 REVISADO'!$U$22</f>
        <v>316.64520000000005</v>
      </c>
      <c r="P26" s="3">
        <f>'REALIZADO 2025'!N50*'PREVISTO 2026 REVISADO'!$U$22</f>
        <v>324.65880000000004</v>
      </c>
      <c r="Q26" s="3">
        <f>'REALIZADO 2025'!O50*'PREVISTO 2026 REVISADO'!$U$22</f>
        <v>308.62080000000003</v>
      </c>
      <c r="R26" s="25">
        <f t="shared" ref="R26:R35" si="6">SUM(F26:Q26)</f>
        <v>3452.0040000000004</v>
      </c>
      <c r="S26" s="25">
        <f t="shared" si="2"/>
        <v>287.66700000000003</v>
      </c>
      <c r="T26" s="5"/>
    </row>
    <row r="27" spans="3:22" ht="12">
      <c r="C27" s="69" t="s">
        <v>41</v>
      </c>
      <c r="D27" s="69"/>
      <c r="E27" s="69"/>
      <c r="F27" s="3">
        <f>'REALIZADO 2025'!D51*'PREVISTO 2026 REVISADO'!$U$22</f>
        <v>0</v>
      </c>
      <c r="G27" s="3">
        <f>'REALIZADO 2025'!E51*'PREVISTO 2026 REVISADO'!$U$22</f>
        <v>0</v>
      </c>
      <c r="H27" s="3">
        <f>'REALIZADO 2025'!F51*'PREVISTO 2026 REVISADO'!$U$22</f>
        <v>0</v>
      </c>
      <c r="I27" s="3">
        <f>'REALIZADO 2025'!G51*'PREVISTO 2026 REVISADO'!$U$22</f>
        <v>0</v>
      </c>
      <c r="J27" s="3">
        <f>'REALIZADO 2025'!H51*'PREVISTO 2026 REVISADO'!$U$22</f>
        <v>0</v>
      </c>
      <c r="K27" s="3">
        <f>'REALIZADO 2025'!I51*'PREVISTO 2026 REVISADO'!$U$22</f>
        <v>0</v>
      </c>
      <c r="L27" s="3">
        <f>'REALIZADO 2025'!J51*'PREVISTO 2026 REVISADO'!$U$22</f>
        <v>0</v>
      </c>
      <c r="M27" s="3">
        <f>'REALIZADO 2025'!K51*'PREVISTO 2026 REVISADO'!$U$22</f>
        <v>0</v>
      </c>
      <c r="N27" s="3">
        <f>'REALIZADO 2025'!L51*'PREVISTO 2026 REVISADO'!$U$22</f>
        <v>0</v>
      </c>
      <c r="O27" s="3">
        <f>'REALIZADO 2025'!M51*'PREVISTO 2026 REVISADO'!$U$22</f>
        <v>0</v>
      </c>
      <c r="P27" s="3">
        <f>'REALIZADO 2025'!N51*'PREVISTO 2026 REVISADO'!$U$22</f>
        <v>2153.1960000000004</v>
      </c>
      <c r="Q27" s="3">
        <f>'REALIZADO 2025'!O51*'PREVISTO 2026 REVISADO'!$U$22</f>
        <v>51.062400000000004</v>
      </c>
      <c r="R27" s="25">
        <f t="shared" si="6"/>
        <v>2204.2584000000002</v>
      </c>
      <c r="S27" s="25">
        <f t="shared" si="2"/>
        <v>183.68820000000002</v>
      </c>
      <c r="T27" s="5"/>
    </row>
    <row r="28" spans="3:22" ht="12">
      <c r="C28" s="69" t="s">
        <v>42</v>
      </c>
      <c r="D28" s="69"/>
      <c r="E28" s="69"/>
      <c r="F28" s="3">
        <f>'REALIZADO 2025'!D52*'PREVISTO 2026 REVISADO'!$U$22</f>
        <v>3033.6120000000001</v>
      </c>
      <c r="G28" s="3">
        <f>'REALIZADO 2025'!E52*'PREVISTO 2026 REVISADO'!$U$22</f>
        <v>3616.2720000000004</v>
      </c>
      <c r="H28" s="3">
        <f>'REALIZADO 2025'!F52*'PREVISTO 2026 REVISADO'!$U$22</f>
        <v>1596.8879999999999</v>
      </c>
      <c r="I28" s="3">
        <f>'REALIZADO 2025'!G52*'PREVISTO 2026 REVISADO'!$U$22</f>
        <v>788.40000000000009</v>
      </c>
      <c r="J28" s="3">
        <f>'REALIZADO 2025'!H52*'PREVISTO 2026 REVISADO'!$U$22</f>
        <v>0</v>
      </c>
      <c r="K28" s="3">
        <f>'REALIZADO 2025'!I52*'PREVISTO 2026 REVISADO'!$U$22</f>
        <v>1690.0596</v>
      </c>
      <c r="L28" s="3">
        <f>'REALIZADO 2025'!J52*'PREVISTO 2026 REVISADO'!$U$22</f>
        <v>0</v>
      </c>
      <c r="M28" s="3">
        <f>'REALIZADO 2025'!K52*'PREVISTO 2026 REVISADO'!$U$22</f>
        <v>0</v>
      </c>
      <c r="N28" s="3">
        <f>'REALIZADO 2025'!L52*'PREVISTO 2026 REVISADO'!$U$22</f>
        <v>0</v>
      </c>
      <c r="O28" s="3">
        <f>'REALIZADO 2025'!M52*'PREVISTO 2026 REVISADO'!$U$22</f>
        <v>571.19040000000007</v>
      </c>
      <c r="P28" s="3">
        <f>'REALIZADO 2025'!N52*'PREVISTO 2026 REVISADO'!$U$22</f>
        <v>0</v>
      </c>
      <c r="Q28" s="3">
        <f>'REALIZADO 2025'!O52*'PREVISTO 2026 REVISADO'!$U$22</f>
        <v>0</v>
      </c>
      <c r="R28" s="25">
        <f t="shared" si="6"/>
        <v>11296.422</v>
      </c>
      <c r="S28" s="25">
        <f t="shared" si="2"/>
        <v>941.36850000000004</v>
      </c>
      <c r="T28" s="5"/>
    </row>
    <row r="29" spans="3:22" ht="12">
      <c r="C29" s="69" t="s">
        <v>43</v>
      </c>
      <c r="D29" s="69"/>
      <c r="E29" s="69"/>
      <c r="F29" s="3">
        <f>'REALIZADO 2025'!D53*'PREVISTO 2026 REVISADO'!$U$22</f>
        <v>319.59360000000004</v>
      </c>
      <c r="G29" s="3">
        <f>'REALIZADO 2025'!E53*'PREVISTO 2026 REVISADO'!$U$22</f>
        <v>319.59360000000004</v>
      </c>
      <c r="H29" s="3">
        <f>'REALIZADO 2025'!F53*'PREVISTO 2026 REVISADO'!$U$22</f>
        <v>319.59360000000004</v>
      </c>
      <c r="I29" s="3">
        <f>'REALIZADO 2025'!G53*'PREVISTO 2026 REVISADO'!$U$22</f>
        <v>319.59360000000004</v>
      </c>
      <c r="J29" s="3">
        <f>'REALIZADO 2025'!H53*'PREVISTO 2026 REVISADO'!$U$22</f>
        <v>332.80200000000002</v>
      </c>
      <c r="K29" s="3">
        <f>'REALIZADO 2025'!I53*'PREVISTO 2026 REVISADO'!$U$22</f>
        <v>332.80200000000002</v>
      </c>
      <c r="L29" s="3">
        <f>'REALIZADO 2025'!J53*'PREVISTO 2026 REVISADO'!$U$22</f>
        <v>332.80200000000002</v>
      </c>
      <c r="M29" s="3">
        <f>'REALIZADO 2025'!K53*'PREVISTO 2026 REVISADO'!$U$22</f>
        <v>332.80200000000002</v>
      </c>
      <c r="N29" s="3">
        <f>'REALIZADO 2025'!L53*'PREVISTO 2026 REVISADO'!$U$22</f>
        <v>332.80200000000002</v>
      </c>
      <c r="O29" s="3">
        <f>'REALIZADO 2025'!M53*'PREVISTO 2026 REVISADO'!$U$22</f>
        <v>332.80200000000002</v>
      </c>
      <c r="P29" s="3">
        <f>'REALIZADO 2025'!N53*'PREVISTO 2026 REVISADO'!$U$22</f>
        <v>534.53520000000003</v>
      </c>
      <c r="Q29" s="3">
        <f>'REALIZADO 2025'!O53*'PREVISTO 2026 REVISADO'!$U$22</f>
        <v>534.53520000000003</v>
      </c>
      <c r="R29" s="25">
        <f t="shared" si="6"/>
        <v>4344.256800000001</v>
      </c>
      <c r="S29" s="25">
        <f t="shared" si="2"/>
        <v>362.02140000000009</v>
      </c>
      <c r="T29" s="5"/>
    </row>
    <row r="30" spans="3:22" ht="12">
      <c r="C30" s="69" t="s">
        <v>44</v>
      </c>
      <c r="D30" s="69"/>
      <c r="E30" s="69"/>
      <c r="F30" s="3">
        <f>'REALIZADO 2025'!D54*'PREVISTO 2026 REVISADO'!$U$22</f>
        <v>324</v>
      </c>
      <c r="G30" s="3">
        <f>'REALIZADO 2025'!E54*'PREVISTO 2026 REVISADO'!$U$22</f>
        <v>324</v>
      </c>
      <c r="H30" s="3">
        <f>'REALIZADO 2025'!F54*'PREVISTO 2026 REVISADO'!$U$22</f>
        <v>367.20000000000005</v>
      </c>
      <c r="I30" s="3">
        <f>'REALIZADO 2025'!G54*'PREVISTO 2026 REVISADO'!$U$22</f>
        <v>345.6</v>
      </c>
      <c r="J30" s="3">
        <f>'REALIZADO 2025'!H54*'PREVISTO 2026 REVISADO'!$U$22</f>
        <v>345.6</v>
      </c>
      <c r="K30" s="3">
        <f>'REALIZADO 2025'!I54*'PREVISTO 2026 REVISADO'!$U$22</f>
        <v>324</v>
      </c>
      <c r="L30" s="3">
        <f>'REALIZADO 2025'!J54*'PREVISTO 2026 REVISADO'!$U$22</f>
        <v>302.40000000000003</v>
      </c>
      <c r="M30" s="3">
        <f>'REALIZADO 2025'!K54*'PREVISTO 2026 REVISADO'!$U$22</f>
        <v>324</v>
      </c>
      <c r="N30" s="3">
        <f>'REALIZADO 2025'!L54*'PREVISTO 2026 REVISADO'!$U$22</f>
        <v>324</v>
      </c>
      <c r="O30" s="3">
        <f>'REALIZADO 2025'!M54*'PREVISTO 2026 REVISADO'!$U$22</f>
        <v>324</v>
      </c>
      <c r="P30" s="3">
        <f>'REALIZADO 2025'!N54*'PREVISTO 2026 REVISADO'!$U$22</f>
        <v>0</v>
      </c>
      <c r="Q30" s="3">
        <f>'REALIZADO 2025'!O54*'PREVISTO 2026 REVISADO'!$U$22</f>
        <v>0</v>
      </c>
      <c r="R30" s="25">
        <f t="shared" si="6"/>
        <v>3304.8</v>
      </c>
      <c r="S30" s="25">
        <f t="shared" si="2"/>
        <v>275.40000000000003</v>
      </c>
      <c r="T30" s="5"/>
    </row>
    <row r="31" spans="3:22" ht="12">
      <c r="C31" s="69" t="s">
        <v>45</v>
      </c>
      <c r="D31" s="69"/>
      <c r="E31" s="69"/>
      <c r="F31" s="3">
        <f>'REALIZADO 2025'!D55*'PREVISTO 2026 REVISADO'!$U$22</f>
        <v>0</v>
      </c>
      <c r="G31" s="3">
        <f>'REALIZADO 2025'!E55*'PREVISTO 2026 REVISADO'!$U$22</f>
        <v>0</v>
      </c>
      <c r="H31" s="3">
        <f>'REALIZADO 2025'!F55*'PREVISTO 2026 REVISADO'!$U$22</f>
        <v>0</v>
      </c>
      <c r="I31" s="3">
        <f>'REALIZADO 2025'!G55*'PREVISTO 2026 REVISADO'!$U$22</f>
        <v>0</v>
      </c>
      <c r="J31" s="3">
        <f>'REALIZADO 2025'!H55*'PREVISTO 2026 REVISADO'!$U$22</f>
        <v>0</v>
      </c>
      <c r="K31" s="3">
        <f>'REALIZADO 2025'!I55*'PREVISTO 2026 REVISADO'!$U$22</f>
        <v>0</v>
      </c>
      <c r="L31" s="3">
        <f>'REALIZADO 2025'!J55*'PREVISTO 2026 REVISADO'!$U$22</f>
        <v>0</v>
      </c>
      <c r="M31" s="3">
        <f>'REALIZADO 2025'!K55*'PREVISTO 2026 REVISADO'!$U$22</f>
        <v>0</v>
      </c>
      <c r="N31" s="3">
        <f>'REALIZADO 2025'!L55*'PREVISTO 2026 REVISADO'!$U$22</f>
        <v>0</v>
      </c>
      <c r="O31" s="3">
        <f>'REALIZADO 2025'!M55*'PREVISTO 2026 REVISADO'!$U$22</f>
        <v>0</v>
      </c>
      <c r="P31" s="3">
        <f>'REALIZADO 2025'!N55*'PREVISTO 2026 REVISADO'!$U$22</f>
        <v>345.6</v>
      </c>
      <c r="Q31" s="3">
        <f>'REALIZADO 2025'!O55*'PREVISTO 2026 REVISADO'!$U$22</f>
        <v>367.20000000000005</v>
      </c>
      <c r="R31" s="25">
        <f t="shared" si="6"/>
        <v>712.80000000000007</v>
      </c>
      <c r="S31" s="25">
        <f t="shared" si="2"/>
        <v>59.400000000000006</v>
      </c>
      <c r="T31" s="5"/>
    </row>
    <row r="32" spans="3:22" ht="12">
      <c r="C32" s="69" t="s">
        <v>46</v>
      </c>
      <c r="D32" s="69"/>
      <c r="E32" s="69"/>
      <c r="F32" s="3">
        <f>'REALIZADO 2025'!D57*'PREVISTO 2026 REVISADO'!$U$22</f>
        <v>26005.406400000003</v>
      </c>
      <c r="G32" s="3">
        <f>'REALIZADO 2025'!E57*'PREVISTO 2026 REVISADO'!$U$22</f>
        <v>25600.212000000003</v>
      </c>
      <c r="H32" s="3">
        <f>'REALIZADO 2025'!F57*'PREVISTO 2026 REVISADO'!$U$22</f>
        <v>24219.0108</v>
      </c>
      <c r="I32" s="3">
        <f>'REALIZADO 2025'!G57*'PREVISTO 2026 REVISADO'!$U$22</f>
        <v>24259.932000000004</v>
      </c>
      <c r="J32" s="3">
        <f>'REALIZADO 2025'!H57*'PREVISTO 2026 REVISADO'!$U$22</f>
        <v>26176.942800000001</v>
      </c>
      <c r="K32" s="3">
        <f>'REALIZADO 2025'!I57*'PREVISTO 2026 REVISADO'!$U$22</f>
        <v>27497.815200000001</v>
      </c>
      <c r="L32" s="3">
        <f>'REALIZADO 2025'!J57*'PREVISTO 2026 REVISADO'!$U$22</f>
        <v>29137.2984</v>
      </c>
      <c r="M32" s="3">
        <f>'REALIZADO 2025'!K57*'PREVISTO 2026 REVISADO'!$U$22</f>
        <v>28422.446400000004</v>
      </c>
      <c r="N32" s="3">
        <f>'REALIZADO 2025'!L57*'PREVISTO 2026 REVISADO'!$U$22</f>
        <v>26628.6636</v>
      </c>
      <c r="O32" s="3">
        <f>'REALIZADO 2025'!M57*'PREVISTO 2026 REVISADO'!$U$22</f>
        <v>27083.484</v>
      </c>
      <c r="P32" s="3">
        <f>'REALIZADO 2025'!N57*'PREVISTO 2026 REVISADO'!$U$22</f>
        <v>27159.613200000003</v>
      </c>
      <c r="Q32" s="3">
        <f>'REALIZADO 2025'!O57*'PREVISTO 2026 REVISADO'!$U$22</f>
        <v>29389.878000000001</v>
      </c>
      <c r="R32" s="25">
        <f t="shared" si="6"/>
        <v>321580.70280000009</v>
      </c>
      <c r="S32" s="25">
        <f t="shared" si="2"/>
        <v>26798.391900000006</v>
      </c>
      <c r="T32" s="5"/>
    </row>
    <row r="33" spans="3:22" ht="12">
      <c r="C33" s="69" t="s">
        <v>47</v>
      </c>
      <c r="D33" s="69"/>
      <c r="E33" s="69"/>
      <c r="F33" s="3">
        <f>'REALIZADO 2025'!D58*'PREVISTO 2026 REVISADO'!$U$22</f>
        <v>5940.0108000000009</v>
      </c>
      <c r="G33" s="3">
        <f>'REALIZADO 2025'!E58*'PREVISTO 2026 REVISADO'!$U$22</f>
        <v>6738.3576000000003</v>
      </c>
      <c r="H33" s="3">
        <f>'REALIZADO 2025'!F58*'PREVISTO 2026 REVISADO'!$U$22</f>
        <v>4368.8159999999998</v>
      </c>
      <c r="I33" s="3">
        <f>'REALIZADO 2025'!G58*'PREVISTO 2026 REVISADO'!$U$22</f>
        <v>4458.0024000000003</v>
      </c>
      <c r="J33" s="3">
        <f>'REALIZADO 2025'!H58*'PREVISTO 2026 REVISADO'!$U$22</f>
        <v>4821.5196000000005</v>
      </c>
      <c r="K33" s="3">
        <f>'REALIZADO 2025'!I58*'PREVISTO 2026 REVISADO'!$U$22</f>
        <v>4989.3083999999999</v>
      </c>
      <c r="L33" s="3">
        <f>'REALIZADO 2025'!J58*'PREVISTO 2026 REVISADO'!$U$22</f>
        <v>5267.2031999999999</v>
      </c>
      <c r="M33" s="3">
        <f>'REALIZADO 2025'!K58*'PREVISTO 2026 REVISADO'!$U$22</f>
        <v>5605.5024000000003</v>
      </c>
      <c r="N33" s="3">
        <f>'REALIZADO 2025'!L58*'PREVISTO 2026 REVISADO'!$U$22</f>
        <v>5774.9868000000006</v>
      </c>
      <c r="O33" s="3">
        <f>'REALIZADO 2025'!M58*'PREVISTO 2026 REVISADO'!$U$22</f>
        <v>5973.220800000001</v>
      </c>
      <c r="P33" s="3">
        <f>'REALIZADO 2025'!N58*'PREVISTO 2026 REVISADO'!$U$22</f>
        <v>5566.5252</v>
      </c>
      <c r="Q33" s="3">
        <f>'REALIZADO 2025'!O58*'PREVISTO 2026 REVISADO'!$U$22</f>
        <v>6208.4880000000012</v>
      </c>
      <c r="R33" s="25">
        <f t="shared" si="6"/>
        <v>65711.941200000001</v>
      </c>
      <c r="S33" s="25">
        <f t="shared" si="2"/>
        <v>5475.9951000000001</v>
      </c>
      <c r="T33" s="5"/>
    </row>
    <row r="34" spans="3:22" ht="12">
      <c r="C34" s="69" t="s">
        <v>48</v>
      </c>
      <c r="D34" s="69"/>
      <c r="E34" s="69"/>
      <c r="F34" s="3">
        <f>'REALIZADO 2025'!D59*'PREVISTO 2026 REVISADO'!$U$22</f>
        <v>0</v>
      </c>
      <c r="G34" s="3">
        <f>'REALIZADO 2025'!E59*'PREVISTO 2026 REVISADO'!$U$22</f>
        <v>0</v>
      </c>
      <c r="H34" s="3">
        <f>'REALIZADO 2025'!F59*'PREVISTO 2026 REVISADO'!$U$22</f>
        <v>6453.5291999999999</v>
      </c>
      <c r="I34" s="3">
        <f>'REALIZADO 2025'!G59*'PREVISTO 2026 REVISADO'!$U$22</f>
        <v>9554.8356000000003</v>
      </c>
      <c r="J34" s="3">
        <f>'REALIZADO 2025'!H59*'PREVISTO 2026 REVISADO'!$U$22</f>
        <v>0</v>
      </c>
      <c r="K34" s="3">
        <f>'REALIZADO 2025'!I59*'PREVISTO 2026 REVISADO'!$U$22</f>
        <v>14145.570000000002</v>
      </c>
      <c r="L34" s="3">
        <f>'REALIZADO 2025'!J59*'PREVISTO 2026 REVISADO'!$U$22</f>
        <v>18469.641600000003</v>
      </c>
      <c r="M34" s="3">
        <f>'REALIZADO 2025'!K59*'PREVISTO 2026 REVISADO'!$U$22</f>
        <v>0</v>
      </c>
      <c r="N34" s="3">
        <f>'REALIZADO 2025'!L59*'PREVISTO 2026 REVISADO'!$U$22</f>
        <v>4852.5804000000007</v>
      </c>
      <c r="O34" s="3">
        <f>'REALIZADO 2025'!M59*'PREVISTO 2026 REVISADO'!$U$22</f>
        <v>3890.0520000000001</v>
      </c>
      <c r="P34" s="3">
        <f>'REALIZADO 2025'!N59*'PREVISTO 2026 REVISADO'!$U$22</f>
        <v>0</v>
      </c>
      <c r="Q34" s="3">
        <f>'REALIZADO 2025'!O59*'PREVISTO 2026 REVISADO'!$U$22</f>
        <v>0</v>
      </c>
      <c r="R34" s="25">
        <f t="shared" si="6"/>
        <v>57366.208800000008</v>
      </c>
      <c r="S34" s="25">
        <f t="shared" si="2"/>
        <v>4780.5174000000006</v>
      </c>
      <c r="T34" s="5"/>
    </row>
    <row r="35" spans="3:22" ht="12">
      <c r="C35" s="69" t="s">
        <v>49</v>
      </c>
      <c r="D35" s="69"/>
      <c r="E35" s="69"/>
      <c r="F35" s="3">
        <f>'REALIZADO 2025'!D60*'PREVISTO 2026 REVISADO'!$U$22</f>
        <v>41884.214400000004</v>
      </c>
      <c r="G35" s="3">
        <f>'REALIZADO 2025'!E60*'PREVISTO 2026 REVISADO'!$U$22</f>
        <v>0</v>
      </c>
      <c r="H35" s="3">
        <f>'REALIZADO 2025'!F60*'PREVISTO 2026 REVISADO'!$U$22</f>
        <v>0</v>
      </c>
      <c r="I35" s="3">
        <f>'REALIZADO 2025'!G60*'PREVISTO 2026 REVISADO'!$U$22</f>
        <v>0</v>
      </c>
      <c r="J35" s="3">
        <f>'REALIZADO 2025'!H60*'PREVISTO 2026 REVISADO'!$U$22</f>
        <v>0</v>
      </c>
      <c r="K35" s="3">
        <f>'REALIZADO 2025'!I60*'PREVISTO 2026 REVISADO'!$U$22</f>
        <v>0</v>
      </c>
      <c r="L35" s="3">
        <f>'REALIZADO 2025'!J60*'PREVISTO 2026 REVISADO'!$U$22</f>
        <v>0</v>
      </c>
      <c r="M35" s="3">
        <f>'REALIZADO 2025'!K60*'PREVISTO 2026 REVISADO'!$U$22</f>
        <v>0</v>
      </c>
      <c r="N35" s="3">
        <f>'REALIZADO 2025'!L60*'PREVISTO 2026 REVISADO'!$U$22</f>
        <v>9835.5600000000013</v>
      </c>
      <c r="O35" s="3">
        <f>'REALIZADO 2025'!M60*'PREVISTO 2026 REVISADO'!$U$22</f>
        <v>0</v>
      </c>
      <c r="P35" s="3">
        <f>'REALIZADO 2025'!N60*'PREVISTO 2026 REVISADO'!$U$22</f>
        <v>0</v>
      </c>
      <c r="Q35" s="3">
        <f>'REALIZADO 2025'!O60*'PREVISTO 2026 REVISADO'!$U$22</f>
        <v>20089.080000000002</v>
      </c>
      <c r="R35" s="25">
        <f t="shared" si="6"/>
        <v>71808.854400000011</v>
      </c>
      <c r="S35" s="25">
        <f t="shared" si="2"/>
        <v>5984.0712000000012</v>
      </c>
      <c r="T35" s="5"/>
    </row>
    <row r="36" spans="3:22" ht="12">
      <c r="C36" s="69" t="s">
        <v>50</v>
      </c>
      <c r="D36" s="69"/>
      <c r="E36" s="69"/>
      <c r="F36" s="3">
        <f>'REALIZADO 2025'!D61*'PREVISTO 2026 REVISADO'!$U$22</f>
        <v>0</v>
      </c>
      <c r="G36" s="3">
        <f>'REALIZADO 2025'!E61*'PREVISTO 2026 REVISADO'!$U$22</f>
        <v>7352.1864000000005</v>
      </c>
      <c r="H36" s="3">
        <f>'REALIZADO 2025'!F61*'PREVISTO 2026 REVISADO'!$U$22</f>
        <v>0</v>
      </c>
      <c r="I36" s="3">
        <f>'REALIZADO 2025'!G61*'PREVISTO 2026 REVISADO'!$U$22</f>
        <v>13862.4804</v>
      </c>
      <c r="J36" s="3">
        <f>'REALIZADO 2025'!H61*'PREVISTO 2026 REVISADO'!$U$22</f>
        <v>0</v>
      </c>
      <c r="K36" s="3">
        <f>'REALIZADO 2025'!I61*'PREVISTO 2026 REVISADO'!$U$22</f>
        <v>0</v>
      </c>
      <c r="L36" s="3">
        <f>'REALIZADO 2025'!J61*'PREVISTO 2026 REVISADO'!$U$22</f>
        <v>0</v>
      </c>
      <c r="M36" s="3">
        <f>'REALIZADO 2025'!K61*'PREVISTO 2026 REVISADO'!$U$22</f>
        <v>0</v>
      </c>
      <c r="N36" s="3">
        <f>'REALIZADO 2025'!L61*'PREVISTO 2026 REVISADO'!$U$22</f>
        <v>1003.32</v>
      </c>
      <c r="O36" s="3">
        <f>'REALIZADO 2025'!M61*'PREVISTO 2026 REVISADO'!$U$22</f>
        <v>0</v>
      </c>
      <c r="P36" s="3">
        <f>'REALIZADO 2025'!N61*'PREVISTO 2026 REVISADO'!$U$22</f>
        <v>658.80000000000007</v>
      </c>
      <c r="Q36" s="3">
        <f>'REALIZADO 2025'!O61*'PREVISTO 2026 REVISADO'!$U$22</f>
        <v>1015.2</v>
      </c>
      <c r="R36" s="25">
        <v>90000</v>
      </c>
      <c r="S36" s="25">
        <f t="shared" si="2"/>
        <v>7500</v>
      </c>
      <c r="T36" s="5"/>
    </row>
    <row r="37" spans="3:22" ht="12">
      <c r="C37" s="69" t="s">
        <v>51</v>
      </c>
      <c r="D37" s="69"/>
      <c r="E37" s="69"/>
      <c r="F37" s="3">
        <f>'REALIZADO 2025'!D62*'PREVISTO 2026 REVISADO'!$U$22</f>
        <v>816.48</v>
      </c>
      <c r="G37" s="3">
        <f>'REALIZADO 2025'!E62*'PREVISTO 2026 REVISADO'!$U$22</f>
        <v>1516.3200000000002</v>
      </c>
      <c r="H37" s="3">
        <f>'REALIZADO 2025'!F62*'PREVISTO 2026 REVISADO'!$U$22</f>
        <v>1856.5200000000002</v>
      </c>
      <c r="I37" s="3">
        <f>'REALIZADO 2025'!G62*'PREVISTO 2026 REVISADO'!$U$22</f>
        <v>106.92</v>
      </c>
      <c r="J37" s="3">
        <f>'REALIZADO 2025'!H62*'PREVISTO 2026 REVISADO'!$U$22</f>
        <v>1487.16</v>
      </c>
      <c r="K37" s="3">
        <f>'REALIZADO 2025'!I62*'PREVISTO 2026 REVISADO'!$U$22</f>
        <v>1653.048</v>
      </c>
      <c r="L37" s="3">
        <f>'REALIZADO 2025'!J62*'PREVISTO 2026 REVISADO'!$U$22</f>
        <v>1341.3600000000001</v>
      </c>
      <c r="M37" s="3">
        <f>'REALIZADO 2025'!K62*'PREVISTO 2026 REVISADO'!$U$22</f>
        <v>1253.8800000000001</v>
      </c>
      <c r="N37" s="3">
        <f>'REALIZADO 2025'!L62*'PREVISTO 2026 REVISADO'!$U$22</f>
        <v>1040.04</v>
      </c>
      <c r="O37" s="3">
        <f>'REALIZADO 2025'!M62*'PREVISTO 2026 REVISADO'!$U$22</f>
        <v>1205.28</v>
      </c>
      <c r="P37" s="3">
        <f>'REALIZADO 2025'!N62*'PREVISTO 2026 REVISADO'!$U$22</f>
        <v>0</v>
      </c>
      <c r="Q37" s="3">
        <f>'REALIZADO 2025'!O62*'PREVISTO 2026 REVISADO'!$U$22</f>
        <v>0</v>
      </c>
      <c r="R37" s="25">
        <f>SUM(F37:Q37)</f>
        <v>12277.008000000003</v>
      </c>
      <c r="S37" s="25">
        <f t="shared" si="2"/>
        <v>1023.0840000000003</v>
      </c>
      <c r="T37" s="5"/>
    </row>
    <row r="38" spans="3:22" ht="12.75" customHeight="1">
      <c r="C38" s="78" t="s">
        <v>52</v>
      </c>
      <c r="D38" s="78"/>
      <c r="E38" s="78"/>
      <c r="F38" s="7">
        <f t="shared" ref="F38:R38" si="7">F39+F55+F68+F72</f>
        <v>48895.278299999998</v>
      </c>
      <c r="G38" s="7">
        <f t="shared" si="7"/>
        <v>40170.980849999993</v>
      </c>
      <c r="H38" s="7">
        <f t="shared" si="7"/>
        <v>45046.553749999999</v>
      </c>
      <c r="I38" s="7">
        <f t="shared" si="7"/>
        <v>48792.711549999993</v>
      </c>
      <c r="J38" s="7">
        <f t="shared" si="7"/>
        <v>77235.740999999995</v>
      </c>
      <c r="K38" s="7">
        <f t="shared" si="7"/>
        <v>75126.429399999994</v>
      </c>
      <c r="L38" s="7">
        <f t="shared" si="7"/>
        <v>57768.373299999992</v>
      </c>
      <c r="M38" s="7">
        <f t="shared" si="7"/>
        <v>45237.297599999991</v>
      </c>
      <c r="N38" s="7">
        <f t="shared" si="7"/>
        <v>51282.664399999994</v>
      </c>
      <c r="O38" s="7">
        <f t="shared" si="7"/>
        <v>73807.608049999995</v>
      </c>
      <c r="P38" s="7">
        <f t="shared" si="7"/>
        <v>35404.401450000005</v>
      </c>
      <c r="Q38" s="7">
        <f t="shared" si="7"/>
        <v>42287.555199999995</v>
      </c>
      <c r="R38" s="10">
        <f t="shared" si="7"/>
        <v>638498.6235499999</v>
      </c>
      <c r="S38" s="27">
        <f>R38/12</f>
        <v>53208.218629166659</v>
      </c>
      <c r="T38" s="15" t="s">
        <v>18</v>
      </c>
      <c r="U38" s="16">
        <v>1.0449999999999999</v>
      </c>
      <c r="V38" s="17">
        <v>4.4999999999999998E-2</v>
      </c>
    </row>
    <row r="39" spans="3:22" ht="12" customHeight="1">
      <c r="C39" s="74" t="s">
        <v>53</v>
      </c>
      <c r="D39" s="74"/>
      <c r="E39" s="74"/>
      <c r="F39" s="8">
        <f>SUM(F40:F48)</f>
        <v>11772.990900000001</v>
      </c>
      <c r="G39" s="8">
        <f>SUM(G40:G48)</f>
        <v>6239.1620499999999</v>
      </c>
      <c r="H39" s="8">
        <f t="shared" ref="H39:Q39" si="8">SUM(H40:H48)</f>
        <v>4612.3374000000003</v>
      </c>
      <c r="I39" s="8">
        <f t="shared" si="8"/>
        <v>5200.2335000000003</v>
      </c>
      <c r="J39" s="8">
        <f t="shared" si="8"/>
        <v>55340.148599999993</v>
      </c>
      <c r="K39" s="8">
        <f t="shared" si="8"/>
        <v>52472.271499999995</v>
      </c>
      <c r="L39" s="8">
        <f t="shared" si="8"/>
        <v>32692.501049999992</v>
      </c>
      <c r="M39" s="8">
        <f t="shared" si="8"/>
        <v>16665.377849999997</v>
      </c>
      <c r="N39" s="8">
        <f t="shared" si="8"/>
        <v>18314.283349999998</v>
      </c>
      <c r="O39" s="8">
        <f t="shared" si="8"/>
        <v>43240.114499999996</v>
      </c>
      <c r="P39" s="8">
        <f t="shared" si="8"/>
        <v>12986.591200000001</v>
      </c>
      <c r="Q39" s="8">
        <f t="shared" si="8"/>
        <v>24886.110699999997</v>
      </c>
      <c r="R39" s="9">
        <f>SUM(R40:R54)</f>
        <v>332522.30804999999</v>
      </c>
      <c r="S39" s="28">
        <f>R39/12</f>
        <v>27710.192337500001</v>
      </c>
      <c r="T39" s="5"/>
      <c r="V39" s="58"/>
    </row>
    <row r="40" spans="3:22" ht="12">
      <c r="C40" s="69" t="s">
        <v>54</v>
      </c>
      <c r="D40" s="69"/>
      <c r="E40" s="69"/>
      <c r="F40" s="3">
        <f>'REALIZADO 2025'!D65*'PREVISTO 2026 REVISADO'!$U$38</f>
        <v>1550.68595</v>
      </c>
      <c r="G40" s="3">
        <f>'REALIZADO 2025'!E65*'PREVISTO 2026 REVISADO'!$U$38</f>
        <v>470.24999999999994</v>
      </c>
      <c r="H40" s="3">
        <f>'REALIZADO 2025'!F65*'PREVISTO 2026 REVISADO'!$U$38</f>
        <v>1302.07</v>
      </c>
      <c r="I40" s="3">
        <f>'REALIZADO 2025'!G65*'PREVISTO 2026 REVISADO'!$U$38</f>
        <v>767.64654999999993</v>
      </c>
      <c r="J40" s="3">
        <f>'REALIZADO 2025'!H65*'PREVISTO 2026 REVISADO'!$U$38</f>
        <v>8109.0954999999994</v>
      </c>
      <c r="K40" s="3">
        <f>'REALIZADO 2025'!I65*'PREVISTO 2026 REVISADO'!$U$38</f>
        <v>9680.8799999999992</v>
      </c>
      <c r="L40" s="3">
        <f>'REALIZADO 2025'!J65*'PREVISTO 2026 REVISADO'!$U$38</f>
        <v>1657.37</v>
      </c>
      <c r="M40" s="3">
        <f>'REALIZADO 2025'!K65*'PREVISTO 2026 REVISADO'!$U$38</f>
        <v>5182.4684999999999</v>
      </c>
      <c r="N40" s="3">
        <f>'REALIZADO 2025'!L65*'PREVISTO 2026 REVISADO'!$U$38</f>
        <v>326.03999999999996</v>
      </c>
      <c r="O40" s="3">
        <f>'REALIZADO 2025'!M65*'PREVISTO 2026 REVISADO'!$U$38</f>
        <v>1660.93345</v>
      </c>
      <c r="P40" s="3">
        <f>'REALIZADO 2025'!N65*'PREVISTO 2026 REVISADO'!$U$38</f>
        <v>1413.2161999999998</v>
      </c>
      <c r="Q40" s="3">
        <f>'REALIZADO 2025'!O65*'PREVISTO 2026 REVISADO'!$U$38</f>
        <v>1478.9467</v>
      </c>
      <c r="R40" s="4">
        <v>63600</v>
      </c>
      <c r="S40" s="25">
        <f t="shared" si="2"/>
        <v>5300</v>
      </c>
      <c r="T40" s="5"/>
      <c r="V40" s="58"/>
    </row>
    <row r="41" spans="3:22" ht="12">
      <c r="C41" s="69" t="s">
        <v>55</v>
      </c>
      <c r="D41" s="69"/>
      <c r="E41" s="69"/>
      <c r="F41" s="3">
        <f>'REALIZADO 2025'!D67*'PREVISTO 2026 REVISADO'!$U$38</f>
        <v>0</v>
      </c>
      <c r="G41" s="3">
        <f>'REALIZADO 2025'!E67*'PREVISTO 2026 REVISADO'!$U$38</f>
        <v>0</v>
      </c>
      <c r="H41" s="3">
        <f>'REALIZADO 2025'!F67*'PREVISTO 2026 REVISADO'!$U$38</f>
        <v>0</v>
      </c>
      <c r="I41" s="3">
        <f>'REALIZADO 2025'!G67*'PREVISTO 2026 REVISADO'!$U$38</f>
        <v>0</v>
      </c>
      <c r="J41" s="3">
        <f>'REALIZADO 2025'!H67*'PREVISTO 2026 REVISADO'!$U$38</f>
        <v>0</v>
      </c>
      <c r="K41" s="3">
        <f>'REALIZADO 2025'!I67*'PREVISTO 2026 REVISADO'!$U$38</f>
        <v>468.99599999999998</v>
      </c>
      <c r="L41" s="3">
        <f>'REALIZADO 2025'!J67*'PREVISTO 2026 REVISADO'!$U$38</f>
        <v>0</v>
      </c>
      <c r="M41" s="3">
        <f>'REALIZADO 2025'!K67*'PREVISTO 2026 REVISADO'!$U$38</f>
        <v>0</v>
      </c>
      <c r="N41" s="3">
        <f>'REALIZADO 2025'!L67*'PREVISTO 2026 REVISADO'!$U$38</f>
        <v>0</v>
      </c>
      <c r="O41" s="3">
        <f>'REALIZADO 2025'!M67*'PREVISTO 2026 REVISADO'!$U$38</f>
        <v>0</v>
      </c>
      <c r="P41" s="3">
        <f>'REALIZADO 2025'!N67*'PREVISTO 2026 REVISADO'!$U$38</f>
        <v>0</v>
      </c>
      <c r="Q41" s="3">
        <f>'REALIZADO 2025'!O67*'PREVISTO 2026 REVISADO'!$U$38</f>
        <v>1730.1228999999998</v>
      </c>
      <c r="R41" s="4">
        <f>SUM(F41:Q41)</f>
        <v>2199.1188999999999</v>
      </c>
      <c r="S41" s="25">
        <f t="shared" si="2"/>
        <v>183.25990833333333</v>
      </c>
      <c r="T41" s="5"/>
      <c r="V41" s="58"/>
    </row>
    <row r="42" spans="3:22" ht="12">
      <c r="C42" s="69" t="s">
        <v>56</v>
      </c>
      <c r="D42" s="69"/>
      <c r="E42" s="69"/>
      <c r="F42" s="3">
        <f>'REALIZADO 2025'!D68*'PREVISTO 2026 REVISADO'!$U$38</f>
        <v>3193.8857499999995</v>
      </c>
      <c r="G42" s="3">
        <f>'REALIZADO 2025'!E68*'PREVISTO 2026 REVISADO'!$U$38</f>
        <v>491.15</v>
      </c>
      <c r="H42" s="3">
        <f>'REALIZADO 2025'!F68*'PREVISTO 2026 REVISADO'!$U$38</f>
        <v>778.52499999999998</v>
      </c>
      <c r="I42" s="3">
        <f>'REALIZADO 2025'!G68*'PREVISTO 2026 REVISADO'!$U$38</f>
        <v>1744.0527499999998</v>
      </c>
      <c r="J42" s="3">
        <f>'REALIZADO 2025'!H68*'PREVISTO 2026 REVISADO'!$U$38</f>
        <v>39798.062149999991</v>
      </c>
      <c r="K42" s="3">
        <f>'REALIZADO 2025'!I68*'PREVISTO 2026 REVISADO'!$U$38</f>
        <v>33495.207349999997</v>
      </c>
      <c r="L42" s="3">
        <f>'REALIZADO 2025'!J68*'PREVISTO 2026 REVISADO'!$U$38</f>
        <v>22087.861949999999</v>
      </c>
      <c r="M42" s="3">
        <f>'REALIZADO 2025'!K68*'PREVISTO 2026 REVISADO'!$U$38</f>
        <v>5523.6296499999999</v>
      </c>
      <c r="N42" s="3">
        <f>'REALIZADO 2025'!L68*'PREVISTO 2026 REVISADO'!$U$38</f>
        <v>4473.3732999999993</v>
      </c>
      <c r="O42" s="3">
        <f>'REALIZADO 2025'!M68*'PREVISTO 2026 REVISADO'!$U$38</f>
        <v>26085.613949999999</v>
      </c>
      <c r="P42" s="3">
        <f>'REALIZADO 2025'!N68*'PREVISTO 2026 REVISADO'!$U$38</f>
        <v>263.86249999999995</v>
      </c>
      <c r="Q42" s="3">
        <f>'REALIZADO 2025'!O68*'PREVISTO 2026 REVISADO'!$U$38</f>
        <v>8769.3787499999999</v>
      </c>
      <c r="R42" s="4">
        <v>24000</v>
      </c>
      <c r="S42" s="25">
        <f t="shared" si="2"/>
        <v>2000</v>
      </c>
      <c r="T42" s="5"/>
      <c r="V42" s="58"/>
    </row>
    <row r="43" spans="3:22" ht="12">
      <c r="C43" s="69" t="s">
        <v>57</v>
      </c>
      <c r="D43" s="69"/>
      <c r="E43" s="69"/>
      <c r="F43" s="3">
        <f>'REALIZADO 2025'!D69*'PREVISTO 2026 REVISADO'!$U$38</f>
        <v>610.80250000000001</v>
      </c>
      <c r="G43" s="3">
        <f>'REALIZADO 2025'!E69*'PREVISTO 2026 REVISADO'!$U$38</f>
        <v>485.03674999999993</v>
      </c>
      <c r="H43" s="3">
        <f>'REALIZADO 2025'!F69*'PREVISTO 2026 REVISADO'!$U$38</f>
        <v>192.42629999999997</v>
      </c>
      <c r="I43" s="3">
        <f>'REALIZADO 2025'!G69*'PREVISTO 2026 REVISADO'!$U$38</f>
        <v>62.699999999999996</v>
      </c>
      <c r="J43" s="3">
        <f>'REALIZADO 2025'!H69*'PREVISTO 2026 REVISADO'!$U$38</f>
        <v>3135</v>
      </c>
      <c r="K43" s="3">
        <f>'REALIZADO 2025'!I69*'PREVISTO 2026 REVISADO'!$U$38</f>
        <v>5643</v>
      </c>
      <c r="L43" s="3">
        <f>'REALIZADO 2025'!J69*'PREVISTO 2026 REVISADO'!$U$38</f>
        <v>0</v>
      </c>
      <c r="M43" s="3">
        <f>'REALIZADO 2025'!K69*'PREVISTO 2026 REVISADO'!$U$38</f>
        <v>401.22774999999996</v>
      </c>
      <c r="N43" s="3">
        <f>'REALIZADO 2025'!L69*'PREVISTO 2026 REVISADO'!$U$38</f>
        <v>731.80304999999987</v>
      </c>
      <c r="O43" s="3">
        <f>'REALIZADO 2025'!M69*'PREVISTO 2026 REVISADO'!$U$38</f>
        <v>840.25315000000001</v>
      </c>
      <c r="P43" s="3">
        <f>'REALIZADO 2025'!N69*'PREVISTO 2026 REVISADO'!$U$38</f>
        <v>5714.4257500000003</v>
      </c>
      <c r="Q43" s="3">
        <f>'REALIZADO 2025'!O69*'PREVISTO 2026 REVISADO'!$U$38</f>
        <v>6967.1194999999998</v>
      </c>
      <c r="R43" s="4">
        <v>16000</v>
      </c>
      <c r="S43" s="25">
        <f t="shared" si="2"/>
        <v>1333.3333333333333</v>
      </c>
      <c r="T43" s="5"/>
    </row>
    <row r="44" spans="3:22" ht="12">
      <c r="C44" s="69" t="s">
        <v>58</v>
      </c>
      <c r="D44" s="69"/>
      <c r="E44" s="69"/>
      <c r="F44" s="3">
        <f>'REALIZADO 2025'!D70*'PREVISTO 2026 REVISADO'!$U$38</f>
        <v>554.51879999999994</v>
      </c>
      <c r="G44" s="3">
        <f>'REALIZADO 2025'!E70*'PREVISTO 2026 REVISADO'!$U$38</f>
        <v>0</v>
      </c>
      <c r="H44" s="3">
        <f>'REALIZADO 2025'!F70*'PREVISTO 2026 REVISADO'!$U$38</f>
        <v>0</v>
      </c>
      <c r="I44" s="3">
        <f>'REALIZADO 2025'!G70*'PREVISTO 2026 REVISADO'!$U$38</f>
        <v>0</v>
      </c>
      <c r="J44" s="3">
        <f>'REALIZADO 2025'!H70*'PREVISTO 2026 REVISADO'!$U$38</f>
        <v>0</v>
      </c>
      <c r="K44" s="3">
        <f>'REALIZADO 2025'!I70*'PREVISTO 2026 REVISADO'!$U$38</f>
        <v>0</v>
      </c>
      <c r="L44" s="3">
        <f>'REALIZADO 2025'!J70*'PREVISTO 2026 REVISADO'!$U$38</f>
        <v>0</v>
      </c>
      <c r="M44" s="3">
        <f>'REALIZADO 2025'!K70*'PREVISTO 2026 REVISADO'!$U$38</f>
        <v>0</v>
      </c>
      <c r="N44" s="3">
        <f>'REALIZADO 2025'!L70*'PREVISTO 2026 REVISADO'!$U$38</f>
        <v>2001.5825499999999</v>
      </c>
      <c r="O44" s="3">
        <f>'REALIZADO 2025'!M70*'PREVISTO 2026 REVISADO'!$U$38</f>
        <v>1340.87085</v>
      </c>
      <c r="P44" s="3">
        <f>'REALIZADO 2025'!N70*'PREVISTO 2026 REVISADO'!$U$38</f>
        <v>1602.9255000000001</v>
      </c>
      <c r="Q44" s="3">
        <f>'REALIZADO 2025'!O70*'PREVISTO 2026 REVISADO'!$U$38</f>
        <v>271.7</v>
      </c>
      <c r="R44" s="4">
        <f>SUM(F44:Q44)</f>
        <v>5771.5977000000003</v>
      </c>
      <c r="S44" s="25">
        <f t="shared" ref="S44:S98" si="9">R44/12</f>
        <v>480.966475</v>
      </c>
      <c r="T44" s="5"/>
    </row>
    <row r="45" spans="3:22" ht="12">
      <c r="C45" s="69" t="s">
        <v>59</v>
      </c>
      <c r="D45" s="69"/>
      <c r="E45" s="69"/>
      <c r="F45" s="3">
        <f>'REALIZADO 2025'!D71*'PREVISTO 2026 REVISADO'!$U$38</f>
        <v>0</v>
      </c>
      <c r="G45" s="3">
        <f>'REALIZADO 2025'!E71*'PREVISTO 2026 REVISADO'!$U$38</f>
        <v>0</v>
      </c>
      <c r="H45" s="3">
        <f>'REALIZADO 2025'!F71*'PREVISTO 2026 REVISADO'!$U$38</f>
        <v>0</v>
      </c>
      <c r="I45" s="3">
        <f>'REALIZADO 2025'!G71*'PREVISTO 2026 REVISADO'!$U$38</f>
        <v>0</v>
      </c>
      <c r="J45" s="3">
        <f>'REALIZADO 2025'!H71*'PREVISTO 2026 REVISADO'!$U$38</f>
        <v>0</v>
      </c>
      <c r="K45" s="3">
        <f>'REALIZADO 2025'!I71*'PREVISTO 2026 REVISADO'!$U$38</f>
        <v>0</v>
      </c>
      <c r="L45" s="3">
        <f>'REALIZADO 2025'!J71*'PREVISTO 2026 REVISADO'!$U$38</f>
        <v>1440.01</v>
      </c>
      <c r="M45" s="3">
        <f>'REALIZADO 2025'!K71*'PREVISTO 2026 REVISADO'!$U$38</f>
        <v>543.4</v>
      </c>
      <c r="N45" s="3">
        <f>'REALIZADO 2025'!L71*'PREVISTO 2026 REVISADO'!$U$38</f>
        <v>6565.202049999999</v>
      </c>
      <c r="O45" s="3">
        <f>'REALIZADO 2025'!M71*'PREVISTO 2026 REVISADO'!$U$38</f>
        <v>1681.9588499999998</v>
      </c>
      <c r="P45" s="3">
        <f>'REALIZADO 2025'!N71*'PREVISTO 2026 REVISADO'!$U$38</f>
        <v>1688.6572999999999</v>
      </c>
      <c r="Q45" s="3">
        <f>'REALIZADO 2025'!O71*'PREVISTO 2026 REVISADO'!$U$38</f>
        <v>683.3463999999999</v>
      </c>
      <c r="R45" s="4">
        <f>SUM(F45:Q45)</f>
        <v>12602.574599999998</v>
      </c>
      <c r="S45" s="25">
        <f t="shared" si="9"/>
        <v>1050.2145499999999</v>
      </c>
      <c r="T45" s="5"/>
    </row>
    <row r="46" spans="3:22" ht="12">
      <c r="C46" s="69" t="s">
        <v>60</v>
      </c>
      <c r="D46" s="69"/>
      <c r="E46" s="69"/>
      <c r="F46" s="3">
        <f>'REALIZADO 2025'!D72*'PREVISTO 2026 REVISADO'!$U$38</f>
        <v>5500.8486499999999</v>
      </c>
      <c r="G46" s="3">
        <f>'REALIZADO 2025'!E72*'PREVISTO 2026 REVISADO'!$U$38</f>
        <v>4596.8504999999996</v>
      </c>
      <c r="H46" s="3">
        <f>'REALIZADO 2025'!F72*'PREVISTO 2026 REVISADO'!$U$38</f>
        <v>1380.1106</v>
      </c>
      <c r="I46" s="3">
        <f>'REALIZADO 2025'!G72*'PREVISTO 2026 REVISADO'!$U$38</f>
        <v>1256.4348499999999</v>
      </c>
      <c r="J46" s="3">
        <f>'REALIZADO 2025'!H72*'PREVISTO 2026 REVISADO'!$U$38</f>
        <v>1988.7499499999997</v>
      </c>
      <c r="K46" s="3">
        <f>'REALIZADO 2025'!I72*'PREVISTO 2026 REVISADO'!$U$38</f>
        <v>252.76459999999997</v>
      </c>
      <c r="L46" s="3">
        <f>'REALIZADO 2025'!J72*'PREVISTO 2026 REVISADO'!$U$38</f>
        <v>202.77179999999998</v>
      </c>
      <c r="M46" s="3">
        <f>'REALIZADO 2025'!K72*'PREVISTO 2026 REVISADO'!$U$38</f>
        <v>2318.855</v>
      </c>
      <c r="N46" s="3">
        <f>'REALIZADO 2025'!L72*'PREVISTO 2026 REVISADO'!$U$38</f>
        <v>2207.0817999999999</v>
      </c>
      <c r="O46" s="3">
        <f>'REALIZADO 2025'!M72*'PREVISTO 2026 REVISADO'!$U$38</f>
        <v>1405.5145499999999</v>
      </c>
      <c r="P46" s="3">
        <f>'REALIZADO 2025'!N72*'PREVISTO 2026 REVISADO'!$U$38</f>
        <v>1072.3476499999999</v>
      </c>
      <c r="Q46" s="3">
        <f>'REALIZADO 2025'!O72*'PREVISTO 2026 REVISADO'!$U$38</f>
        <v>4023.1559499999994</v>
      </c>
      <c r="R46" s="4">
        <v>20000</v>
      </c>
      <c r="S46" s="25">
        <f t="shared" si="9"/>
        <v>1666.6666666666667</v>
      </c>
      <c r="T46" s="5"/>
    </row>
    <row r="47" spans="3:22" ht="12">
      <c r="C47" s="77" t="s">
        <v>61</v>
      </c>
      <c r="D47" s="77"/>
      <c r="E47" s="77"/>
      <c r="F47" s="3">
        <f>'REALIZADO 2025'!D73*'PREVISTO 2026 REVISADO'!$U$38</f>
        <v>349.70924999999994</v>
      </c>
      <c r="G47" s="3">
        <f>'REALIZADO 2025'!E73*'PREVISTO 2026 REVISADO'!$U$38</f>
        <v>60.505499999999998</v>
      </c>
      <c r="H47" s="3">
        <f>'REALIZADO 2025'!F73*'PREVISTO 2026 REVISADO'!$U$38</f>
        <v>60.505499999999998</v>
      </c>
      <c r="I47" s="3">
        <f>'REALIZADO 2025'!G73*'PREVISTO 2026 REVISADO'!$U$38</f>
        <v>60.505499999999998</v>
      </c>
      <c r="J47" s="3">
        <f>'REALIZADO 2025'!H73*'PREVISTO 2026 REVISADO'!$U$38</f>
        <v>60.505499999999998</v>
      </c>
      <c r="K47" s="3">
        <f>'REALIZADO 2025'!I73*'PREVISTO 2026 REVISADO'!$U$38</f>
        <v>530.75549999999998</v>
      </c>
      <c r="L47" s="3">
        <f>'REALIZADO 2025'!J73*'PREVISTO 2026 REVISADO'!$U$38</f>
        <v>3445.1559999999999</v>
      </c>
      <c r="M47" s="3">
        <f>'REALIZADO 2025'!K73*'PREVISTO 2026 REVISADO'!$U$38</f>
        <v>257.07</v>
      </c>
      <c r="N47" s="3">
        <f>'REALIZADO 2025'!L73*'PREVISTO 2026 REVISADO'!$U$38</f>
        <v>421.79334999999998</v>
      </c>
      <c r="O47" s="3">
        <f>'REALIZADO 2025'!M73*'PREVISTO 2026 REVISADO'!$U$38</f>
        <v>9542.9399999999987</v>
      </c>
      <c r="P47" s="3">
        <f>'REALIZADO 2025'!N73*'PREVISTO 2026 REVISADO'!$U$38</f>
        <v>416.88184999999999</v>
      </c>
      <c r="Q47" s="3">
        <f>'REALIZADO 2025'!O73*'PREVISTO 2026 REVISADO'!$U$38</f>
        <v>0</v>
      </c>
      <c r="R47" s="4">
        <v>25000</v>
      </c>
      <c r="S47" s="25">
        <f t="shared" si="9"/>
        <v>2083.3333333333335</v>
      </c>
      <c r="T47" s="5"/>
    </row>
    <row r="48" spans="3:22" ht="12">
      <c r="C48" s="69" t="s">
        <v>62</v>
      </c>
      <c r="D48" s="69"/>
      <c r="E48" s="69"/>
      <c r="F48" s="3">
        <f>'REALIZADO 2025'!D74*'PREVISTO 2026 REVISADO'!$U$38</f>
        <v>12.54</v>
      </c>
      <c r="G48" s="3">
        <f>'REALIZADO 2025'!E74*'PREVISTO 2026 REVISADO'!$U$38</f>
        <v>135.36929999999998</v>
      </c>
      <c r="H48" s="3">
        <f>'REALIZADO 2025'!F74*'PREVISTO 2026 REVISADO'!$U$38</f>
        <v>898.69999999999993</v>
      </c>
      <c r="I48" s="3">
        <f>'REALIZADO 2025'!G74*'PREVISTO 2026 REVISADO'!$U$38</f>
        <v>1308.8938499999999</v>
      </c>
      <c r="J48" s="3">
        <f>'REALIZADO 2025'!H74*'PREVISTO 2026 REVISADO'!$U$38</f>
        <v>2248.7354999999998</v>
      </c>
      <c r="K48" s="3">
        <f>'REALIZADO 2025'!I74*'PREVISTO 2026 REVISADO'!$U$38</f>
        <v>2400.6680499999998</v>
      </c>
      <c r="L48" s="3">
        <f>'REALIZADO 2025'!J74*'PREVISTO 2026 REVISADO'!$U$38</f>
        <v>3859.3312999999998</v>
      </c>
      <c r="M48" s="3">
        <f>'REALIZADO 2025'!K74*'PREVISTO 2026 REVISADO'!$U$38</f>
        <v>2438.7269499999998</v>
      </c>
      <c r="N48" s="3">
        <f>'REALIZADO 2025'!L74*'PREVISTO 2026 REVISADO'!$U$38</f>
        <v>1587.4072499999997</v>
      </c>
      <c r="O48" s="3">
        <f>'REALIZADO 2025'!M74*'PREVISTO 2026 REVISADO'!$U$38</f>
        <v>682.02969999999993</v>
      </c>
      <c r="P48" s="3">
        <f>'REALIZADO 2025'!N74*'PREVISTO 2026 REVISADO'!$U$38</f>
        <v>814.27445</v>
      </c>
      <c r="Q48" s="3">
        <f>'REALIZADO 2025'!O74*'PREVISTO 2026 REVISADO'!$U$38</f>
        <v>962.34049999999991</v>
      </c>
      <c r="R48" s="4">
        <f>SUM(F48:Q48)</f>
        <v>17349.016849999996</v>
      </c>
      <c r="S48" s="25">
        <f t="shared" si="9"/>
        <v>1445.7514041666664</v>
      </c>
      <c r="T48" s="5"/>
    </row>
    <row r="49" spans="3:20" ht="12">
      <c r="C49" s="75" t="s">
        <v>63</v>
      </c>
      <c r="D49" s="76"/>
      <c r="E49" s="7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>
        <v>10000</v>
      </c>
      <c r="S49" s="25">
        <f t="shared" si="9"/>
        <v>833.33333333333337</v>
      </c>
      <c r="T49" s="5"/>
    </row>
    <row r="50" spans="3:20" ht="12">
      <c r="C50" s="75" t="s">
        <v>64</v>
      </c>
      <c r="D50" s="76"/>
      <c r="E50" s="7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>
        <v>10000</v>
      </c>
      <c r="S50" s="25">
        <f t="shared" si="9"/>
        <v>833.33333333333337</v>
      </c>
      <c r="T50" s="5"/>
    </row>
    <row r="51" spans="3:20" ht="12">
      <c r="C51" s="75" t="s">
        <v>65</v>
      </c>
      <c r="D51" s="76"/>
      <c r="E51" s="7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>
        <v>90000</v>
      </c>
      <c r="S51" s="25">
        <f t="shared" si="9"/>
        <v>7500</v>
      </c>
      <c r="T51" s="5"/>
    </row>
    <row r="52" spans="3:20" ht="12">
      <c r="C52" s="75" t="s">
        <v>66</v>
      </c>
      <c r="D52" s="76"/>
      <c r="E52" s="7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>
        <v>3000</v>
      </c>
      <c r="S52" s="25">
        <f t="shared" si="9"/>
        <v>250</v>
      </c>
      <c r="T52" s="5"/>
    </row>
    <row r="53" spans="3:20" ht="12">
      <c r="C53" s="75" t="s">
        <v>67</v>
      </c>
      <c r="D53" s="76"/>
      <c r="E53" s="7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>
        <v>3000</v>
      </c>
      <c r="S53" s="25">
        <f t="shared" si="9"/>
        <v>250</v>
      </c>
      <c r="T53" s="5"/>
    </row>
    <row r="54" spans="3:20" ht="12">
      <c r="C54" s="75" t="s">
        <v>68</v>
      </c>
      <c r="D54" s="75"/>
      <c r="E54" s="7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>
        <v>30000</v>
      </c>
      <c r="S54" s="25">
        <f t="shared" si="9"/>
        <v>2500</v>
      </c>
      <c r="T54" s="5"/>
    </row>
    <row r="55" spans="3:20" ht="12" customHeight="1">
      <c r="C55" s="74" t="s">
        <v>69</v>
      </c>
      <c r="D55" s="74"/>
      <c r="E55" s="74"/>
      <c r="F55" s="8">
        <f>SUM(F56:F67)</f>
        <v>13069.940399999999</v>
      </c>
      <c r="G55" s="8">
        <f t="shared" ref="G55:Q55" si="10">SUM(G56:G67)</f>
        <v>14929.141699999996</v>
      </c>
      <c r="H55" s="8">
        <f t="shared" si="10"/>
        <v>19163.1682</v>
      </c>
      <c r="I55" s="8">
        <f t="shared" si="10"/>
        <v>16750.4931</v>
      </c>
      <c r="J55" s="8">
        <f t="shared" si="10"/>
        <v>10903.937550000001</v>
      </c>
      <c r="K55" s="8">
        <f t="shared" si="10"/>
        <v>10419.653200000001</v>
      </c>
      <c r="L55" s="8">
        <f t="shared" si="10"/>
        <v>14561.834650000001</v>
      </c>
      <c r="M55" s="8">
        <f t="shared" si="10"/>
        <v>8672.9983999999986</v>
      </c>
      <c r="N55" s="8">
        <f t="shared" si="10"/>
        <v>20187.9997</v>
      </c>
      <c r="O55" s="8">
        <f t="shared" si="10"/>
        <v>20380.133399999999</v>
      </c>
      <c r="P55" s="8">
        <f t="shared" si="10"/>
        <v>16417.984550000001</v>
      </c>
      <c r="Q55" s="8">
        <f t="shared" si="10"/>
        <v>12092.039849999997</v>
      </c>
      <c r="R55" s="28">
        <f>SUM(R56:R67)</f>
        <v>149101.29069999995</v>
      </c>
      <c r="S55" s="28">
        <f>R55/12</f>
        <v>12425.10755833333</v>
      </c>
      <c r="T55" s="5"/>
    </row>
    <row r="56" spans="3:20" ht="12">
      <c r="C56" s="69" t="s">
        <v>70</v>
      </c>
      <c r="D56" s="69"/>
      <c r="E56" s="69"/>
      <c r="F56" s="3">
        <f>'REALIZADO 2025'!D76*'PREVISTO 2026 REVISADO'!$U$38</f>
        <v>1201.7082</v>
      </c>
      <c r="G56" s="3">
        <f>'REALIZADO 2025'!E76*'PREVISTO 2026 REVISADO'!$U$38</f>
        <v>5668.4353000000001</v>
      </c>
      <c r="H56" s="3">
        <f>'REALIZADO 2025'!F76*'PREVISTO 2026 REVISADO'!$U$38</f>
        <v>1839.4298999999999</v>
      </c>
      <c r="I56" s="3">
        <f>'REALIZADO 2025'!G76*'PREVISTO 2026 REVISADO'!$U$38</f>
        <v>1707.43595</v>
      </c>
      <c r="J56" s="3">
        <f>'REALIZADO 2025'!H76*'PREVISTO 2026 REVISADO'!$U$38</f>
        <v>1130.7213499999998</v>
      </c>
      <c r="K56" s="3">
        <f>'REALIZADO 2025'!I76*'PREVISTO 2026 REVISADO'!$U$38</f>
        <v>410.50734999999997</v>
      </c>
      <c r="L56" s="3">
        <f>'REALIZADO 2025'!J76*'PREVISTO 2026 REVISADO'!$U$38</f>
        <v>2901.2752999999998</v>
      </c>
      <c r="M56" s="3">
        <f>'REALIZADO 2025'!K76*'PREVISTO 2026 REVISADO'!$U$38</f>
        <v>1329.7520499999998</v>
      </c>
      <c r="N56" s="3">
        <f>'REALIZADO 2025'!L76*'PREVISTO 2026 REVISADO'!$U$38</f>
        <v>2576.3429999999998</v>
      </c>
      <c r="O56" s="3">
        <f>'REALIZADO 2025'!M76*'PREVISTO 2026 REVISADO'!$U$38</f>
        <v>2003.96515</v>
      </c>
      <c r="P56" s="3">
        <f>'REALIZADO 2025'!N76*'PREVISTO 2026 REVISADO'!$U$38</f>
        <v>579.18079999999998</v>
      </c>
      <c r="Q56" s="3">
        <f>'REALIZADO 2025'!O76*'PREVISTO 2026 REVISADO'!$U$38</f>
        <v>1431.6499999999999</v>
      </c>
      <c r="R56" s="25">
        <f>SUM(F56:Q56)</f>
        <v>22780.404349999997</v>
      </c>
      <c r="S56" s="25">
        <f t="shared" si="9"/>
        <v>1898.3670291666665</v>
      </c>
      <c r="T56" s="5"/>
    </row>
    <row r="57" spans="3:20" ht="12">
      <c r="C57" s="69" t="s">
        <v>71</v>
      </c>
      <c r="D57" s="69"/>
      <c r="E57" s="69"/>
      <c r="F57" s="3">
        <f>'REALIZADO 2025'!D77*'PREVISTO 2026 REVISADO'!$U$38</f>
        <v>0</v>
      </c>
      <c r="G57" s="3">
        <f>'REALIZADO 2025'!E77*'PREVISTO 2026 REVISADO'!$U$38</f>
        <v>2427.5245499999996</v>
      </c>
      <c r="H57" s="3">
        <f>'REALIZADO 2025'!F77*'PREVISTO 2026 REVISADO'!$U$38</f>
        <v>3773.1187999999997</v>
      </c>
      <c r="I57" s="3">
        <f>'REALIZADO 2025'!G77*'PREVISTO 2026 REVISADO'!$U$38</f>
        <v>1885.3785499999999</v>
      </c>
      <c r="J57" s="3">
        <f>'REALIZADO 2025'!H77*'PREVISTO 2026 REVISADO'!$U$38</f>
        <v>1016.2624999999999</v>
      </c>
      <c r="K57" s="3">
        <f>'REALIZADO 2025'!I77*'PREVISTO 2026 REVISADO'!$U$38</f>
        <v>3881.9868999999999</v>
      </c>
      <c r="L57" s="3">
        <f>'REALIZADO 2025'!J77*'PREVISTO 2026 REVISADO'!$U$38</f>
        <v>3093.2</v>
      </c>
      <c r="M57" s="3">
        <f>'REALIZADO 2025'!K77*'PREVISTO 2026 REVISADO'!$U$38</f>
        <v>1703.35</v>
      </c>
      <c r="N57" s="3">
        <f>'REALIZADO 2025'!L77*'PREVISTO 2026 REVISADO'!$U$38</f>
        <v>1703.35</v>
      </c>
      <c r="O57" s="3">
        <f>'REALIZADO 2025'!M77*'PREVISTO 2026 REVISADO'!$U$38</f>
        <v>4185.1309499999998</v>
      </c>
      <c r="P57" s="3">
        <f>'REALIZADO 2025'!N77*'PREVISTO 2026 REVISADO'!$U$38</f>
        <v>3160.1217999999999</v>
      </c>
      <c r="Q57" s="3">
        <f>'REALIZADO 2025'!O77*'PREVISTO 2026 REVISADO'!$U$38</f>
        <v>2277.67155</v>
      </c>
      <c r="R57" s="25">
        <f>SUM(F57:Q57)</f>
        <v>29107.095599999997</v>
      </c>
      <c r="S57" s="25">
        <f t="shared" si="9"/>
        <v>2425.5912999999996</v>
      </c>
      <c r="T57" s="5"/>
    </row>
    <row r="58" spans="3:20" ht="12">
      <c r="C58" s="69" t="s">
        <v>72</v>
      </c>
      <c r="D58" s="69"/>
      <c r="E58" s="69"/>
      <c r="F58" s="3">
        <f>'REALIZADO 2025'!D78*'PREVISTO 2026 REVISADO'!$U$38</f>
        <v>888.24999999999989</v>
      </c>
      <c r="G58" s="3">
        <f>'REALIZADO 2025'!E78*'PREVISTO 2026 REVISADO'!$U$38</f>
        <v>548.625</v>
      </c>
      <c r="H58" s="3">
        <f>'REALIZADO 2025'!F78*'PREVISTO 2026 REVISADO'!$U$38</f>
        <v>0</v>
      </c>
      <c r="I58" s="3">
        <f>'REALIZADO 2025'!G78*'PREVISTO 2026 REVISADO'!$U$38</f>
        <v>0</v>
      </c>
      <c r="J58" s="3">
        <f>'REALIZADO 2025'!H78*'PREVISTO 2026 REVISADO'!$U$38</f>
        <v>0</v>
      </c>
      <c r="K58" s="3">
        <f>'REALIZADO 2025'!I78*'PREVISTO 2026 REVISADO'!$U$38</f>
        <v>0</v>
      </c>
      <c r="L58" s="3">
        <f>'REALIZADO 2025'!J78*'PREVISTO 2026 REVISADO'!$U$38</f>
        <v>0</v>
      </c>
      <c r="M58" s="3">
        <f>'REALIZADO 2025'!K78*'PREVISTO 2026 REVISADO'!$U$38</f>
        <v>0</v>
      </c>
      <c r="N58" s="3">
        <f>'REALIZADO 2025'!L78*'PREVISTO 2026 REVISADO'!$U$38</f>
        <v>0</v>
      </c>
      <c r="O58" s="3">
        <f>'REALIZADO 2025'!M78*'PREVISTO 2026 REVISADO'!$U$38</f>
        <v>0</v>
      </c>
      <c r="P58" s="3">
        <f>'REALIZADO 2025'!N78*'PREVISTO 2026 REVISADO'!$U$38</f>
        <v>0</v>
      </c>
      <c r="Q58" s="3">
        <f>'REALIZADO 2025'!O78*'PREVISTO 2026 REVISADO'!$U$38</f>
        <v>0</v>
      </c>
      <c r="R58" s="25">
        <f>SUM(F58:Q58)</f>
        <v>1436.875</v>
      </c>
      <c r="S58" s="25">
        <f t="shared" si="9"/>
        <v>119.73958333333333</v>
      </c>
      <c r="T58" s="5"/>
    </row>
    <row r="59" spans="3:20" ht="12">
      <c r="C59" s="69" t="s">
        <v>73</v>
      </c>
      <c r="D59" s="69"/>
      <c r="E59" s="69"/>
      <c r="F59" s="3">
        <f>'REALIZADO 2025'!D79*'PREVISTO 2026 REVISADO'!$U$38</f>
        <v>0</v>
      </c>
      <c r="G59" s="3">
        <f>'REALIZADO 2025'!E79*'PREVISTO 2026 REVISADO'!$U$38</f>
        <v>0</v>
      </c>
      <c r="H59" s="3">
        <f>'REALIZADO 2025'!F79*'PREVISTO 2026 REVISADO'!$U$38</f>
        <v>0</v>
      </c>
      <c r="I59" s="3">
        <f>'REALIZADO 2025'!G79*'PREVISTO 2026 REVISADO'!$U$38</f>
        <v>0</v>
      </c>
      <c r="J59" s="3">
        <f>'REALIZADO 2025'!H79*'PREVISTO 2026 REVISADO'!$U$38</f>
        <v>0</v>
      </c>
      <c r="K59" s="3">
        <f>'REALIZADO 2025'!I79*'PREVISTO 2026 REVISADO'!$U$38</f>
        <v>0</v>
      </c>
      <c r="L59" s="3">
        <f>'REALIZADO 2025'!J79*'PREVISTO 2026 REVISADO'!$U$38</f>
        <v>0</v>
      </c>
      <c r="M59" s="3">
        <f>'REALIZADO 2025'!K79*'PREVISTO 2026 REVISADO'!$U$38</f>
        <v>0</v>
      </c>
      <c r="N59" s="3">
        <f>'REALIZADO 2025'!L79*'PREVISTO 2026 REVISADO'!$U$38</f>
        <v>42.573299999999996</v>
      </c>
      <c r="O59" s="3">
        <f>'REALIZADO 2025'!M79*'PREVISTO 2026 REVISADO'!$U$38</f>
        <v>0</v>
      </c>
      <c r="P59" s="3">
        <f>'REALIZADO 2025'!N79*'PREVISTO 2026 REVISADO'!$U$38</f>
        <v>0</v>
      </c>
      <c r="Q59" s="3">
        <f>'REALIZADO 2025'!O79*'PREVISTO 2026 REVISADO'!$U$38</f>
        <v>0</v>
      </c>
      <c r="R59" s="25">
        <f>SUM(F59:Q59)</f>
        <v>42.573299999999996</v>
      </c>
      <c r="S59" s="25">
        <f t="shared" si="9"/>
        <v>3.5477749999999997</v>
      </c>
      <c r="T59" s="5"/>
    </row>
    <row r="60" spans="3:20" ht="12">
      <c r="C60" s="69" t="s">
        <v>74</v>
      </c>
      <c r="D60" s="69"/>
      <c r="E60" s="69"/>
      <c r="F60" s="3">
        <f>'REALIZADO 2025'!D80*'PREVISTO 2026 REVISADO'!$U$38</f>
        <v>2080.5113999999999</v>
      </c>
      <c r="G60" s="3">
        <f>'REALIZADO 2025'!E80*'PREVISTO 2026 REVISADO'!$U$38</f>
        <v>1775.5803999999998</v>
      </c>
      <c r="H60" s="3">
        <f>'REALIZADO 2025'!F80*'PREVISTO 2026 REVISADO'!$U$38</f>
        <v>2668.5328999999997</v>
      </c>
      <c r="I60" s="3">
        <f>'REALIZADO 2025'!G80*'PREVISTO 2026 REVISADO'!$U$38</f>
        <v>5443.0914999999995</v>
      </c>
      <c r="J60" s="3">
        <f>'REALIZADO 2025'!H80*'PREVISTO 2026 REVISADO'!$U$38</f>
        <v>3762.7419499999996</v>
      </c>
      <c r="K60" s="3">
        <f>'REALIZADO 2025'!I80*'PREVISTO 2026 REVISADO'!$U$38</f>
        <v>3642.0862499999998</v>
      </c>
      <c r="L60" s="3">
        <f>'REALIZADO 2025'!J80*'PREVISTO 2026 REVISADO'!$U$38</f>
        <v>372.79329999999999</v>
      </c>
      <c r="M60" s="3">
        <f>'REALIZADO 2025'!K80*'PREVISTO 2026 REVISADO'!$U$38</f>
        <v>968.19249999999988</v>
      </c>
      <c r="N60" s="3">
        <f>'REALIZADO 2025'!L80*'PREVISTO 2026 REVISADO'!$U$38</f>
        <v>4318.3997999999992</v>
      </c>
      <c r="O60" s="3">
        <f>'REALIZADO 2025'!M80*'PREVISTO 2026 REVISADO'!$U$38</f>
        <v>6209.7348499999998</v>
      </c>
      <c r="P60" s="3">
        <f>'REALIZADO 2025'!N80*'PREVISTO 2026 REVISADO'!$U$38</f>
        <v>7047.6053999999995</v>
      </c>
      <c r="Q60" s="3">
        <f>'REALIZADO 2025'!O80*'PREVISTO 2026 REVISADO'!$U$38</f>
        <v>4547.4220000000005</v>
      </c>
      <c r="R60" s="25">
        <v>10000</v>
      </c>
      <c r="S60" s="25">
        <f t="shared" si="9"/>
        <v>833.33333333333337</v>
      </c>
      <c r="T60" s="5"/>
    </row>
    <row r="61" spans="3:20" ht="12">
      <c r="C61" s="69" t="s">
        <v>75</v>
      </c>
      <c r="D61" s="69"/>
      <c r="E61" s="69"/>
      <c r="F61" s="3">
        <f>'REALIZADO 2025'!D81*'PREVISTO 2026 REVISADO'!$U$38</f>
        <v>0</v>
      </c>
      <c r="G61" s="3">
        <f>'REALIZADO 2025'!E81*'PREVISTO 2026 REVISADO'!$U$38</f>
        <v>0</v>
      </c>
      <c r="H61" s="3">
        <f>'REALIZADO 2025'!F81*'PREVISTO 2026 REVISADO'!$U$38</f>
        <v>0</v>
      </c>
      <c r="I61" s="3">
        <f>'REALIZADO 2025'!G81*'PREVISTO 2026 REVISADO'!$U$38</f>
        <v>104.5</v>
      </c>
      <c r="J61" s="3">
        <f>'REALIZADO 2025'!H81*'PREVISTO 2026 REVISADO'!$U$38</f>
        <v>0</v>
      </c>
      <c r="K61" s="3">
        <f>'REALIZADO 2025'!I81*'PREVISTO 2026 REVISADO'!$U$38</f>
        <v>0</v>
      </c>
      <c r="L61" s="3">
        <f>'REALIZADO 2025'!J81*'PREVISTO 2026 REVISADO'!$U$38</f>
        <v>0</v>
      </c>
      <c r="M61" s="3">
        <f>'REALIZADO 2025'!K81*'PREVISTO 2026 REVISADO'!$U$38</f>
        <v>0</v>
      </c>
      <c r="N61" s="3">
        <f>'REALIZADO 2025'!L81*'PREVISTO 2026 REVISADO'!$U$38</f>
        <v>0</v>
      </c>
      <c r="O61" s="3">
        <f>'REALIZADO 2025'!M81*'PREVISTO 2026 REVISADO'!$U$38</f>
        <v>0</v>
      </c>
      <c r="P61" s="3">
        <f>'REALIZADO 2025'!N81*'PREVISTO 2026 REVISADO'!$U$38</f>
        <v>0</v>
      </c>
      <c r="Q61" s="3">
        <f>'REALIZADO 2025'!O81*'PREVISTO 2026 REVISADO'!$U$38</f>
        <v>56.764399999999995</v>
      </c>
      <c r="R61" s="25">
        <f>SUM(F61:Q61)</f>
        <v>161.26439999999999</v>
      </c>
      <c r="S61" s="25">
        <f t="shared" si="9"/>
        <v>13.438699999999999</v>
      </c>
      <c r="T61" s="5"/>
    </row>
    <row r="62" spans="3:20" ht="12">
      <c r="C62" s="69" t="s">
        <v>76</v>
      </c>
      <c r="D62" s="69"/>
      <c r="E62" s="69"/>
      <c r="F62" s="3">
        <f>'REALIZADO 2025'!D82*'PREVISTO 2026 REVISADO'!$U$38</f>
        <v>7691.6597999999994</v>
      </c>
      <c r="G62" s="3">
        <f>'REALIZADO 2025'!E82*'PREVISTO 2026 REVISADO'!$U$38</f>
        <v>2713.0812499999997</v>
      </c>
      <c r="H62" s="3">
        <f>'REALIZADO 2025'!F82*'PREVISTO 2026 REVISADO'!$U$38</f>
        <v>1018.8749999999999</v>
      </c>
      <c r="I62" s="3">
        <f>'REALIZADO 2025'!G82*'PREVISTO 2026 REVISADO'!$U$38</f>
        <v>2666.8399999999997</v>
      </c>
      <c r="J62" s="3">
        <f>'REALIZADO 2025'!H82*'PREVISTO 2026 REVISADO'!$U$38</f>
        <v>2783.8799999999997</v>
      </c>
      <c r="K62" s="3">
        <f>'REALIZADO 2025'!I82*'PREVISTO 2026 REVISADO'!$U$38</f>
        <v>836</v>
      </c>
      <c r="L62" s="3">
        <f>'REALIZADO 2025'!J82*'PREVISTO 2026 REVISADO'!$U$38</f>
        <v>877.8</v>
      </c>
      <c r="M62" s="3">
        <f>'REALIZADO 2025'!K82*'PREVISTO 2026 REVISADO'!$U$38</f>
        <v>1648.4875</v>
      </c>
      <c r="N62" s="3">
        <f>'REALIZADO 2025'!L82*'PREVISTO 2026 REVISADO'!$U$38</f>
        <v>2319.11625</v>
      </c>
      <c r="O62" s="3">
        <f>'REALIZADO 2025'!M82*'PREVISTO 2026 REVISADO'!$U$38</f>
        <v>1903.6347000000001</v>
      </c>
      <c r="P62" s="3">
        <f>'REALIZADO 2025'!N82*'PREVISTO 2026 REVISADO'!$U$38</f>
        <v>1088.5346999999999</v>
      </c>
      <c r="Q62" s="3">
        <f>'REALIZADO 2025'!O82*'PREVISTO 2026 REVISADO'!$U$38</f>
        <v>2016.1811999999998</v>
      </c>
      <c r="R62" s="25">
        <f>SUM(F62:Q62)</f>
        <v>27564.090399999994</v>
      </c>
      <c r="S62" s="25">
        <f t="shared" si="9"/>
        <v>2297.007533333333</v>
      </c>
      <c r="T62" s="5"/>
    </row>
    <row r="63" spans="3:20" ht="12">
      <c r="C63" s="69" t="s">
        <v>77</v>
      </c>
      <c r="D63" s="69"/>
      <c r="E63" s="69"/>
      <c r="F63" s="3">
        <f>'REALIZADO 2025'!D83*'PREVISTO 2026 REVISADO'!$U$38</f>
        <v>1149.5</v>
      </c>
      <c r="G63" s="3">
        <f>'REALIZADO 2025'!E83*'PREVISTO 2026 REVISADO'!$U$38</f>
        <v>1481.5591999999999</v>
      </c>
      <c r="H63" s="3">
        <f>'REALIZADO 2025'!F83*'PREVISTO 2026 REVISADO'!$U$38</f>
        <v>2122.2696000000001</v>
      </c>
      <c r="I63" s="3">
        <f>'REALIZADO 2025'!G83*'PREVISTO 2026 REVISADO'!$U$38</f>
        <v>2265.5913500000001</v>
      </c>
      <c r="J63" s="3">
        <f>'REALIZADO 2025'!H83*'PREVISTO 2026 REVISADO'!$U$38</f>
        <v>1493.2945499999998</v>
      </c>
      <c r="K63" s="3">
        <f>'REALIZADO 2025'!I83*'PREVISTO 2026 REVISADO'!$U$38</f>
        <v>1497.5163499999999</v>
      </c>
      <c r="L63" s="3">
        <f>'REALIZADO 2025'!J83*'PREVISTO 2026 REVISADO'!$U$38</f>
        <v>1918.2438</v>
      </c>
      <c r="M63" s="3">
        <f>'REALIZADO 2025'!K83*'PREVISTO 2026 REVISADO'!$U$38</f>
        <v>2009.5663499999998</v>
      </c>
      <c r="N63" s="3">
        <f>'REALIZADO 2025'!L83*'PREVISTO 2026 REVISADO'!$U$38</f>
        <v>8346.7807499999999</v>
      </c>
      <c r="O63" s="3">
        <f>'REALIZADO 2025'!M83*'PREVISTO 2026 REVISADO'!$U$38</f>
        <v>4122.4727499999999</v>
      </c>
      <c r="P63" s="3">
        <f>'REALIZADO 2025'!N83*'PREVISTO 2026 REVISADO'!$U$38</f>
        <v>2442.1963500000002</v>
      </c>
      <c r="Q63" s="3">
        <f>'REALIZADO 2025'!O83*'PREVISTO 2026 REVISADO'!$U$38</f>
        <v>1762.3507</v>
      </c>
      <c r="R63" s="25">
        <v>35000</v>
      </c>
      <c r="S63" s="25">
        <f t="shared" si="9"/>
        <v>2916.6666666666665</v>
      </c>
      <c r="T63" s="5"/>
    </row>
    <row r="64" spans="3:20" ht="12">
      <c r="C64" s="69" t="s">
        <v>78</v>
      </c>
      <c r="D64" s="69"/>
      <c r="E64" s="69"/>
      <c r="F64" s="3">
        <f>'REALIZADO 2025'!D84*'PREVISTO 2026 REVISADO'!$U$38</f>
        <v>0</v>
      </c>
      <c r="G64" s="3">
        <f>'REALIZADO 2025'!E84*'PREVISTO 2026 REVISADO'!$U$38</f>
        <v>0</v>
      </c>
      <c r="H64" s="3">
        <f>'REALIZADO 2025'!F84*'PREVISTO 2026 REVISADO'!$U$38</f>
        <v>425.94200000000001</v>
      </c>
      <c r="I64" s="3">
        <f>'REALIZADO 2025'!G84*'PREVISTO 2026 REVISADO'!$U$38</f>
        <v>250.79999999999998</v>
      </c>
      <c r="J64" s="3">
        <f>'REALIZADO 2025'!H84*'PREVISTO 2026 REVISADO'!$U$38</f>
        <v>0</v>
      </c>
      <c r="K64" s="3">
        <f>'REALIZADO 2025'!I84*'PREVISTO 2026 REVISADO'!$U$38</f>
        <v>78.270499999999998</v>
      </c>
      <c r="L64" s="3">
        <f>'REALIZADO 2025'!J84*'PREVISTO 2026 REVISADO'!$U$38</f>
        <v>1254</v>
      </c>
      <c r="M64" s="3">
        <f>'REALIZADO 2025'!K84*'PREVISTO 2026 REVISADO'!$U$38</f>
        <v>731.5</v>
      </c>
      <c r="N64" s="3">
        <f>'REALIZADO 2025'!L84*'PREVISTO 2026 REVISADO'!$U$38</f>
        <v>114.94999999999999</v>
      </c>
      <c r="O64" s="3">
        <f>'REALIZADO 2025'!M84*'PREVISTO 2026 REVISADO'!$U$38</f>
        <v>0</v>
      </c>
      <c r="P64" s="3">
        <f>'REALIZADO 2025'!N84*'PREVISTO 2026 REVISADO'!$U$38</f>
        <v>0</v>
      </c>
      <c r="Q64" s="3">
        <f>'REALIZADO 2025'!O84*'PREVISTO 2026 REVISADO'!$U$38</f>
        <v>0</v>
      </c>
      <c r="R64" s="25">
        <f>SUM(F64:Q64)</f>
        <v>2855.4624999999996</v>
      </c>
      <c r="S64" s="25">
        <f t="shared" si="9"/>
        <v>237.9552083333333</v>
      </c>
      <c r="T64" s="5"/>
    </row>
    <row r="65" spans="3:21" ht="12">
      <c r="C65" s="69" t="s">
        <v>79</v>
      </c>
      <c r="D65" s="69"/>
      <c r="E65" s="69"/>
      <c r="F65" s="3">
        <f>'REALIZADO 2025'!D85*'PREVISTO 2026 REVISADO'!$U$38</f>
        <v>58.310999999999993</v>
      </c>
      <c r="G65" s="3">
        <f>'REALIZADO 2025'!E85*'PREVISTO 2026 REVISADO'!$U$38</f>
        <v>314.33600000000001</v>
      </c>
      <c r="H65" s="3">
        <f>'REALIZADO 2025'!F85*'PREVISTO 2026 REVISADO'!$U$38</f>
        <v>0</v>
      </c>
      <c r="I65" s="3">
        <f>'REALIZADO 2025'!G85*'PREVISTO 2026 REVISADO'!$U$38</f>
        <v>776.80074999999999</v>
      </c>
      <c r="J65" s="3">
        <f>'REALIZADO 2025'!H85*'PREVISTO 2026 REVISADO'!$U$38</f>
        <v>23.20945</v>
      </c>
      <c r="K65" s="3">
        <f>'REALIZADO 2025'!I85*'PREVISTO 2026 REVISADO'!$U$38</f>
        <v>0</v>
      </c>
      <c r="L65" s="3">
        <f>'REALIZADO 2025'!J85*'PREVISTO 2026 REVISADO'!$U$38</f>
        <v>3766.18</v>
      </c>
      <c r="M65" s="3">
        <f>'REALIZADO 2025'!K85*'PREVISTO 2026 REVISADO'!$U$38</f>
        <v>282.14999999999998</v>
      </c>
      <c r="N65" s="3">
        <f>'REALIZADO 2025'!L85*'PREVISTO 2026 REVISADO'!$U$38</f>
        <v>503.14659999999998</v>
      </c>
      <c r="O65" s="3">
        <f>'REALIZADO 2025'!M85*'PREVISTO 2026 REVISADO'!$U$38</f>
        <v>1955.1949999999999</v>
      </c>
      <c r="P65" s="3">
        <f>'REALIZADO 2025'!N85*'PREVISTO 2026 REVISADO'!$U$38</f>
        <v>2100.3454999999999</v>
      </c>
      <c r="Q65" s="3">
        <f>'REALIZADO 2025'!O85*'PREVISTO 2026 REVISADO'!$U$38</f>
        <v>0</v>
      </c>
      <c r="R65" s="25">
        <f>SUM(F65:Q65)</f>
        <v>9779.6742999999988</v>
      </c>
      <c r="S65" s="25">
        <f t="shared" si="9"/>
        <v>814.97285833333319</v>
      </c>
      <c r="T65" s="5"/>
    </row>
    <row r="66" spans="3:21" ht="12">
      <c r="C66" s="69" t="s">
        <v>80</v>
      </c>
      <c r="D66" s="69"/>
      <c r="E66" s="69"/>
      <c r="F66" s="3">
        <f>'REALIZADO 2025'!D86*'PREVISTO 2026 REVISADO'!$U$38</f>
        <v>0</v>
      </c>
      <c r="G66" s="3">
        <f>'REALIZADO 2025'!E86*'PREVISTO 2026 REVISADO'!$U$38</f>
        <v>0</v>
      </c>
      <c r="H66" s="3">
        <f>'REALIZADO 2025'!F86*'PREVISTO 2026 REVISADO'!$U$38</f>
        <v>7314.9999999999991</v>
      </c>
      <c r="I66" s="3">
        <f>'REALIZADO 2025'!G86*'PREVISTO 2026 REVISADO'!$U$38</f>
        <v>1650.0549999999998</v>
      </c>
      <c r="J66" s="3">
        <f>'REALIZADO 2025'!H86*'PREVISTO 2026 REVISADO'!$U$38</f>
        <v>0</v>
      </c>
      <c r="K66" s="3">
        <f>'REALIZADO 2025'!I86*'PREVISTO 2026 REVISADO'!$U$38</f>
        <v>0</v>
      </c>
      <c r="L66" s="3">
        <f>'REALIZADO 2025'!J86*'PREVISTO 2026 REVISADO'!$U$38</f>
        <v>0</v>
      </c>
      <c r="M66" s="3">
        <f>'REALIZADO 2025'!K86*'PREVISTO 2026 REVISADO'!$U$38</f>
        <v>0</v>
      </c>
      <c r="N66" s="3">
        <f>'REALIZADO 2025'!L86*'PREVISTO 2026 REVISADO'!$U$38</f>
        <v>263.33999999999997</v>
      </c>
      <c r="O66" s="3">
        <f>'REALIZADO 2025'!M86*'PREVISTO 2026 REVISADO'!$U$38</f>
        <v>0</v>
      </c>
      <c r="P66" s="3">
        <f>'REALIZADO 2025'!N86*'PREVISTO 2026 REVISADO'!$U$38</f>
        <v>0</v>
      </c>
      <c r="Q66" s="3">
        <f>'REALIZADO 2025'!O86*'PREVISTO 2026 REVISADO'!$U$38</f>
        <v>0</v>
      </c>
      <c r="R66" s="25">
        <f>SUM(F66:Q66)</f>
        <v>9228.3949999999986</v>
      </c>
      <c r="S66" s="25">
        <f t="shared" si="9"/>
        <v>769.03291666666655</v>
      </c>
      <c r="T66" s="5"/>
    </row>
    <row r="67" spans="3:21" ht="12">
      <c r="C67" s="69" t="s">
        <v>81</v>
      </c>
      <c r="D67" s="69"/>
      <c r="E67" s="69"/>
      <c r="F67" s="3">
        <f>'REALIZADO 2025'!D87*'PREVISTO 2026 REVISADO'!$U$38</f>
        <v>0</v>
      </c>
      <c r="G67" s="3">
        <f>'REALIZADO 2025'!E87*'PREVISTO 2026 REVISADO'!$U$38</f>
        <v>0</v>
      </c>
      <c r="H67" s="3">
        <f>'REALIZADO 2025'!F87*'PREVISTO 2026 REVISADO'!$U$38</f>
        <v>0</v>
      </c>
      <c r="I67" s="3">
        <f>'REALIZADO 2025'!G87*'PREVISTO 2026 REVISADO'!$U$38</f>
        <v>0</v>
      </c>
      <c r="J67" s="3">
        <f>'REALIZADO 2025'!H87*'PREVISTO 2026 REVISADO'!$U$38</f>
        <v>693.82775000000004</v>
      </c>
      <c r="K67" s="3">
        <f>'REALIZADO 2025'!I87*'PREVISTO 2026 REVISADO'!$U$38</f>
        <v>73.285849999999996</v>
      </c>
      <c r="L67" s="3">
        <f>'REALIZADO 2025'!J87*'PREVISTO 2026 REVISADO'!$U$38</f>
        <v>378.34224999999998</v>
      </c>
      <c r="M67" s="3">
        <f>'REALIZADO 2025'!K87*'PREVISTO 2026 REVISADO'!$U$38</f>
        <v>0</v>
      </c>
      <c r="N67" s="3">
        <f>'REALIZADO 2025'!L87*'PREVISTO 2026 REVISADO'!$U$38</f>
        <v>0</v>
      </c>
      <c r="O67" s="3">
        <f>'REALIZADO 2025'!M87*'PREVISTO 2026 REVISADO'!$U$38</f>
        <v>0</v>
      </c>
      <c r="P67" s="3">
        <f>'REALIZADO 2025'!N87*'PREVISTO 2026 REVISADO'!$U$38</f>
        <v>0</v>
      </c>
      <c r="Q67" s="3">
        <f>'REALIZADO 2025'!O87*'PREVISTO 2026 REVISADO'!$U$38</f>
        <v>0</v>
      </c>
      <c r="R67" s="25">
        <f>SUM(F67:Q67)</f>
        <v>1145.4558500000001</v>
      </c>
      <c r="S67" s="25">
        <f t="shared" si="9"/>
        <v>95.454654166666671</v>
      </c>
      <c r="T67" s="5"/>
    </row>
    <row r="68" spans="3:21" ht="12">
      <c r="C68" s="74" t="s">
        <v>82</v>
      </c>
      <c r="D68" s="74"/>
      <c r="E68" s="74"/>
      <c r="F68" s="8">
        <f>SUM(F69:F71)</f>
        <v>16132.187499999998</v>
      </c>
      <c r="G68" s="8">
        <f t="shared" ref="G68:Q68" si="11">SUM(G69:G71)</f>
        <v>14734.8135</v>
      </c>
      <c r="H68" s="8">
        <f t="shared" si="11"/>
        <v>13166.11175</v>
      </c>
      <c r="I68" s="8">
        <f t="shared" si="11"/>
        <v>15843.767499999998</v>
      </c>
      <c r="J68" s="8">
        <f t="shared" si="11"/>
        <v>6390.1749999999993</v>
      </c>
      <c r="K68" s="8">
        <f t="shared" si="11"/>
        <v>10054.99</v>
      </c>
      <c r="L68" s="8">
        <f t="shared" si="11"/>
        <v>7028.6699999999992</v>
      </c>
      <c r="M68" s="8">
        <f t="shared" si="11"/>
        <v>8206.0401499999989</v>
      </c>
      <c r="N68" s="8">
        <f t="shared" si="11"/>
        <v>3996.7801499999996</v>
      </c>
      <c r="O68" s="8">
        <f t="shared" si="11"/>
        <v>7054.439699999999</v>
      </c>
      <c r="P68" s="8">
        <f t="shared" si="11"/>
        <v>710.59999999999991</v>
      </c>
      <c r="Q68" s="8">
        <f t="shared" si="11"/>
        <v>1839.0954999999999</v>
      </c>
      <c r="R68" s="9">
        <f>SUM(R69:R71)</f>
        <v>95374.688999999998</v>
      </c>
      <c r="S68" s="28">
        <f t="shared" si="9"/>
        <v>7947.8907499999996</v>
      </c>
      <c r="T68" s="5"/>
    </row>
    <row r="69" spans="3:21" ht="12">
      <c r="C69" s="69" t="s">
        <v>83</v>
      </c>
      <c r="D69" s="69"/>
      <c r="E69" s="69"/>
      <c r="F69" s="3">
        <f>'REALIZADO 2025'!D89*'PREVISTO 2026 REVISADO'!$U$38</f>
        <v>6040.6224999999995</v>
      </c>
      <c r="G69" s="3">
        <f>'REALIZADO 2025'!E89*'PREVISTO 2026 REVISADO'!$U$38</f>
        <v>6040.6224999999995</v>
      </c>
      <c r="H69" s="3">
        <f>'REALIZADO 2025'!F89*'PREVISTO 2026 REVISADO'!$U$38</f>
        <v>5339.95</v>
      </c>
      <c r="I69" s="3">
        <f>'REALIZADO 2025'!G89*'PREVISTO 2026 REVISADO'!$U$38</f>
        <v>7947.2249999999995</v>
      </c>
      <c r="J69" s="3">
        <f>'REALIZADO 2025'!H89*'PREVISTO 2026 REVISADO'!$U$38</f>
        <v>6390.1749999999993</v>
      </c>
      <c r="K69" s="3">
        <f>'REALIZADO 2025'!I89*'PREVISTO 2026 REVISADO'!$U$38</f>
        <v>5956.5</v>
      </c>
      <c r="L69" s="3">
        <f>'REALIZADO 2025'!J89*'PREVISTO 2026 REVISADO'!$U$38</f>
        <v>3423.4199999999996</v>
      </c>
      <c r="M69" s="3">
        <f>'REALIZADO 2025'!K89*'PREVISTO 2026 REVISADO'!$U$38</f>
        <v>5016</v>
      </c>
      <c r="N69" s="3">
        <f>'REALIZADO 2025'!L89*'PREVISTO 2026 REVISADO'!$U$38</f>
        <v>1191.3</v>
      </c>
      <c r="O69" s="3">
        <f>'REALIZADO 2025'!M89*'PREVISTO 2026 REVISADO'!$U$38</f>
        <v>5114.2299999999996</v>
      </c>
      <c r="P69" s="3">
        <f>'REALIZADO 2025'!N89*'PREVISTO 2026 REVISADO'!$U$38</f>
        <v>0</v>
      </c>
      <c r="Q69" s="3">
        <f>'REALIZADO 2025'!O89*'PREVISTO 2026 REVISADO'!$U$38</f>
        <v>0</v>
      </c>
      <c r="R69" s="4">
        <f>SUM(F69:Q69)</f>
        <v>52460.044999999998</v>
      </c>
      <c r="S69" s="25">
        <f t="shared" si="9"/>
        <v>4371.6704166666668</v>
      </c>
      <c r="T69" s="5"/>
    </row>
    <row r="70" spans="3:21" ht="12">
      <c r="C70" s="69" t="s">
        <v>84</v>
      </c>
      <c r="D70" s="69"/>
      <c r="E70" s="69"/>
      <c r="F70" s="3">
        <f>'REALIZADO 2025'!D90*'PREVISTO 2026 REVISADO'!$U$38</f>
        <v>7357.8449999999993</v>
      </c>
      <c r="G70" s="3">
        <f>'REALIZADO 2025'!E90*'PREVISTO 2026 REVISADO'!$U$38</f>
        <v>4558.0810000000001</v>
      </c>
      <c r="H70" s="3">
        <f>'REALIZADO 2025'!F90*'PREVISTO 2026 REVISADO'!$U$38</f>
        <v>5275.1077499999992</v>
      </c>
      <c r="I70" s="3">
        <f>'REALIZADO 2025'!G90*'PREVISTO 2026 REVISADO'!$U$38</f>
        <v>7008.2924999999996</v>
      </c>
      <c r="J70" s="3">
        <f>'REALIZADO 2025'!H90*'PREVISTO 2026 REVISADO'!$U$38</f>
        <v>0</v>
      </c>
      <c r="K70" s="3">
        <f>'REALIZADO 2025'!I90*'PREVISTO 2026 REVISADO'!$U$38</f>
        <v>2102.54</v>
      </c>
      <c r="L70" s="3">
        <f>'REALIZADO 2025'!J90*'PREVISTO 2026 REVISADO'!$U$38</f>
        <v>606.09999999999991</v>
      </c>
      <c r="M70" s="3">
        <f>'REALIZADO 2025'!K90*'PREVISTO 2026 REVISADO'!$U$38</f>
        <v>1864.9801499999999</v>
      </c>
      <c r="N70" s="3">
        <f>'REALIZADO 2025'!L90*'PREVISTO 2026 REVISADO'!$U$38</f>
        <v>2805.4801499999999</v>
      </c>
      <c r="O70" s="3">
        <f>'REALIZADO 2025'!M90*'PREVISTO 2026 REVISADO'!$U$38</f>
        <v>1940.2096999999999</v>
      </c>
      <c r="P70" s="3">
        <f>'REALIZADO 2025'!N90*'PREVISTO 2026 REVISADO'!$U$38</f>
        <v>0</v>
      </c>
      <c r="Q70" s="3">
        <f>'REALIZADO 2025'!O90*'PREVISTO 2026 REVISADO'!$U$38</f>
        <v>1264.3454999999999</v>
      </c>
      <c r="R70" s="4">
        <v>25000</v>
      </c>
      <c r="S70" s="25">
        <f t="shared" si="9"/>
        <v>2083.3333333333335</v>
      </c>
      <c r="T70" s="5"/>
    </row>
    <row r="71" spans="3:21" ht="12">
      <c r="C71" s="69" t="s">
        <v>85</v>
      </c>
      <c r="D71" s="69"/>
      <c r="E71" s="69"/>
      <c r="F71" s="3">
        <f>'REALIZADO 2025'!D91*'PREVISTO 2026 REVISADO'!$U$38</f>
        <v>2733.72</v>
      </c>
      <c r="G71" s="3">
        <f>'REALIZADO 2025'!E91*'PREVISTO 2026 REVISADO'!$U$38</f>
        <v>4136.1099999999997</v>
      </c>
      <c r="H71" s="3">
        <f>'REALIZADO 2025'!F91*'PREVISTO 2026 REVISADO'!$U$38</f>
        <v>2551.0539999999996</v>
      </c>
      <c r="I71" s="3">
        <f>'REALIZADO 2025'!G91*'PREVISTO 2026 REVISADO'!$U$38</f>
        <v>888.24999999999989</v>
      </c>
      <c r="J71" s="3">
        <f>'REALIZADO 2025'!H91*'PREVISTO 2026 REVISADO'!$U$38</f>
        <v>0</v>
      </c>
      <c r="K71" s="3">
        <f>'REALIZADO 2025'!I91*'PREVISTO 2026 REVISADO'!$U$38</f>
        <v>1995.9499999999998</v>
      </c>
      <c r="L71" s="3">
        <f>'REALIZADO 2025'!J91*'PREVISTO 2026 REVISADO'!$U$38</f>
        <v>2999.1499999999996</v>
      </c>
      <c r="M71" s="3">
        <f>'REALIZADO 2025'!K91*'PREVISTO 2026 REVISADO'!$U$38</f>
        <v>1325.06</v>
      </c>
      <c r="N71" s="3">
        <f>'REALIZADO 2025'!L91*'PREVISTO 2026 REVISADO'!$U$38</f>
        <v>0</v>
      </c>
      <c r="O71" s="3">
        <f>'REALIZADO 2025'!M91*'PREVISTO 2026 REVISADO'!$U$38</f>
        <v>0</v>
      </c>
      <c r="P71" s="3">
        <f>'REALIZADO 2025'!N91*'PREVISTO 2026 REVISADO'!$U$38</f>
        <v>710.59999999999991</v>
      </c>
      <c r="Q71" s="3">
        <f>'REALIZADO 2025'!O91*'PREVISTO 2026 REVISADO'!$U$38</f>
        <v>574.75</v>
      </c>
      <c r="R71" s="4">
        <f>SUM(F71:Q71)</f>
        <v>17914.643999999997</v>
      </c>
      <c r="S71" s="25">
        <f t="shared" si="9"/>
        <v>1492.8869999999997</v>
      </c>
      <c r="T71" s="5"/>
    </row>
    <row r="72" spans="3:21" ht="12">
      <c r="C72" s="74" t="s">
        <v>86</v>
      </c>
      <c r="D72" s="74"/>
      <c r="E72" s="74"/>
      <c r="F72" s="8">
        <f>SUM(F73:F77)</f>
        <v>7920.1594999999998</v>
      </c>
      <c r="G72" s="8">
        <f t="shared" ref="G72:Q72" si="12">SUM(G73:G77)</f>
        <v>4267.8635999999997</v>
      </c>
      <c r="H72" s="8">
        <f t="shared" si="12"/>
        <v>8104.9364000000005</v>
      </c>
      <c r="I72" s="8">
        <f t="shared" si="12"/>
        <v>10998.21745</v>
      </c>
      <c r="J72" s="8">
        <f t="shared" si="12"/>
        <v>4601.4798499999997</v>
      </c>
      <c r="K72" s="8">
        <f t="shared" si="12"/>
        <v>2179.5146999999997</v>
      </c>
      <c r="L72" s="8">
        <f t="shared" si="12"/>
        <v>3485.3675999999996</v>
      </c>
      <c r="M72" s="8">
        <f t="shared" si="12"/>
        <v>11692.8812</v>
      </c>
      <c r="N72" s="8">
        <f t="shared" si="12"/>
        <v>8783.601200000001</v>
      </c>
      <c r="O72" s="8">
        <f t="shared" si="12"/>
        <v>3132.9204500000001</v>
      </c>
      <c r="P72" s="8">
        <f t="shared" si="12"/>
        <v>5289.2257</v>
      </c>
      <c r="Q72" s="8">
        <f t="shared" si="12"/>
        <v>3470.30915</v>
      </c>
      <c r="R72" s="9">
        <f>SUM(R73:R77)</f>
        <v>61500.335800000001</v>
      </c>
      <c r="S72" s="28">
        <f t="shared" si="9"/>
        <v>5125.0279833333334</v>
      </c>
      <c r="T72" s="5"/>
    </row>
    <row r="73" spans="3:21" ht="12">
      <c r="C73" s="69" t="s">
        <v>87</v>
      </c>
      <c r="D73" s="69"/>
      <c r="E73" s="69"/>
      <c r="F73" s="3">
        <f>'REALIZADO 2025'!D93*'PREVISTO 2026 REVISADO'!$U$38</f>
        <v>909.15</v>
      </c>
      <c r="G73" s="3">
        <f>'REALIZADO 2025'!E93*'PREVISTO 2026 REVISADO'!$U$38</f>
        <v>0</v>
      </c>
      <c r="H73" s="3">
        <f>'REALIZADO 2025'!F93*'PREVISTO 2026 REVISADO'!$U$38</f>
        <v>0</v>
      </c>
      <c r="I73" s="3">
        <f>'REALIZADO 2025'!G93*'PREVISTO 2026 REVISADO'!$U$38</f>
        <v>0</v>
      </c>
      <c r="J73" s="3">
        <f>'REALIZADO 2025'!H93*'PREVISTO 2026 REVISADO'!$U$38</f>
        <v>0</v>
      </c>
      <c r="K73" s="3">
        <f>'REALIZADO 2025'!I93*'PREVISTO 2026 REVISADO'!$U$38</f>
        <v>0</v>
      </c>
      <c r="L73" s="3">
        <f>'REALIZADO 2025'!J93*'PREVISTO 2026 REVISADO'!$U$38</f>
        <v>0</v>
      </c>
      <c r="M73" s="3">
        <f>'REALIZADO 2025'!K93*'PREVISTO 2026 REVISADO'!$U$38</f>
        <v>0</v>
      </c>
      <c r="N73" s="3">
        <f>'REALIZADO 2025'!L93*'PREVISTO 2026 REVISADO'!$U$38</f>
        <v>0</v>
      </c>
      <c r="O73" s="3">
        <f>'REALIZADO 2025'!M93*'PREVISTO 2026 REVISADO'!$U$38</f>
        <v>0</v>
      </c>
      <c r="P73" s="3">
        <f>'REALIZADO 2025'!N93*'PREVISTO 2026 REVISADO'!$U$38</f>
        <v>109.72499999999999</v>
      </c>
      <c r="Q73" s="3">
        <f>'REALIZADO 2025'!O93*'PREVISTO 2026 REVISADO'!$U$38</f>
        <v>0</v>
      </c>
      <c r="R73" s="4">
        <f>SUM(F73:Q73)</f>
        <v>1018.875</v>
      </c>
      <c r="S73" s="25">
        <f t="shared" si="9"/>
        <v>84.90625</v>
      </c>
      <c r="T73" s="5"/>
    </row>
    <row r="74" spans="3:21" ht="12">
      <c r="C74" s="69" t="s">
        <v>88</v>
      </c>
      <c r="D74" s="69"/>
      <c r="E74" s="69"/>
      <c r="F74" s="3">
        <f>'REALIZADO 2025'!D94*'PREVISTO 2026 REVISADO'!$U$38</f>
        <v>752.4</v>
      </c>
      <c r="G74" s="3">
        <f>'REALIZADO 2025'!E94*'PREVISTO 2026 REVISADO'!$U$38</f>
        <v>686.1887999999999</v>
      </c>
      <c r="H74" s="3">
        <f>'REALIZADO 2025'!F94*'PREVISTO 2026 REVISADO'!$U$38</f>
        <v>818.61119999999994</v>
      </c>
      <c r="I74" s="3">
        <f>'REALIZADO 2025'!G94*'PREVISTO 2026 REVISADO'!$U$38</f>
        <v>1368.9499999999998</v>
      </c>
      <c r="J74" s="3">
        <f>'REALIZADO 2025'!H94*'PREVISTO 2026 REVISADO'!$U$38</f>
        <v>686.1887999999999</v>
      </c>
      <c r="K74" s="3">
        <f>'REALIZADO 2025'!I94*'PREVISTO 2026 REVISADO'!$U$38</f>
        <v>818.61119999999994</v>
      </c>
      <c r="L74" s="3">
        <f>'REALIZADO 2025'!J94*'PREVISTO 2026 REVISADO'!$U$38</f>
        <v>1813.3675999999998</v>
      </c>
      <c r="M74" s="3">
        <f>'REALIZADO 2025'!K94*'PREVISTO 2026 REVISADO'!$U$38</f>
        <v>1575.1911999999998</v>
      </c>
      <c r="N74" s="3">
        <f>'REALIZADO 2025'!L94*'PREVISTO 2026 REVISADO'!$U$38</f>
        <v>1606.5411999999999</v>
      </c>
      <c r="O74" s="3">
        <f>'REALIZADO 2025'!M94*'PREVISTO 2026 REVISADO'!$U$38</f>
        <v>783.75</v>
      </c>
      <c r="P74" s="3">
        <f>'REALIZADO 2025'!N94*'PREVISTO 2026 REVISADO'!$U$38</f>
        <v>714.78</v>
      </c>
      <c r="Q74" s="3">
        <f>'REALIZADO 2025'!O94*'PREVISTO 2026 REVISADO'!$U$38</f>
        <v>852.71999999999991</v>
      </c>
      <c r="R74" s="4">
        <f>SUM(F74:Q74)</f>
        <v>12477.3</v>
      </c>
      <c r="S74" s="25">
        <f t="shared" si="9"/>
        <v>1039.7749999999999</v>
      </c>
      <c r="T74" s="5"/>
    </row>
    <row r="75" spans="3:21" ht="12">
      <c r="C75" s="69" t="s">
        <v>89</v>
      </c>
      <c r="D75" s="69"/>
      <c r="E75" s="69"/>
      <c r="F75" s="3">
        <f>'REALIZADO 2025'!D95*'PREVISTO 2026 REVISADO'!$U$38</f>
        <v>2403.5</v>
      </c>
      <c r="G75" s="3">
        <f>'REALIZADO 2025'!E95*'PREVISTO 2026 REVISADO'!$U$38</f>
        <v>545.49</v>
      </c>
      <c r="H75" s="3">
        <f>'REALIZADO 2025'!F95*'PREVISTO 2026 REVISADO'!$U$38</f>
        <v>447.26</v>
      </c>
      <c r="I75" s="3">
        <f>'REALIZADO 2025'!G95*'PREVISTO 2026 REVISADO'!$U$38</f>
        <v>900.69594999999993</v>
      </c>
      <c r="J75" s="3">
        <f>'REALIZADO 2025'!H95*'PREVISTO 2026 REVISADO'!$U$38</f>
        <v>469.19454999999999</v>
      </c>
      <c r="K75" s="3">
        <f>'REALIZADO 2025'!I95*'PREVISTO 2026 REVISADO'!$U$38</f>
        <v>0</v>
      </c>
      <c r="L75" s="3">
        <f>'REALIZADO 2025'!J95*'PREVISTO 2026 REVISADO'!$U$38</f>
        <v>418</v>
      </c>
      <c r="M75" s="3">
        <f>'REALIZADO 2025'!K95*'PREVISTO 2026 REVISADO'!$U$38</f>
        <v>921.68999999999994</v>
      </c>
      <c r="N75" s="3">
        <f>'REALIZADO 2025'!L95*'PREVISTO 2026 REVISADO'!$U$38</f>
        <v>175.56</v>
      </c>
      <c r="O75" s="3">
        <f>'REALIZADO 2025'!M95*'PREVISTO 2026 REVISADO'!$U$38</f>
        <v>679.26044999999999</v>
      </c>
      <c r="P75" s="3">
        <f>'REALIZADO 2025'!N95*'PREVISTO 2026 REVISADO'!$U$38</f>
        <v>922.48419999999987</v>
      </c>
      <c r="Q75" s="3">
        <f>'REALIZADO 2025'!O95*'PREVISTO 2026 REVISADO'!$U$38</f>
        <v>516.82565</v>
      </c>
      <c r="R75" s="4">
        <f>SUM(F75:Q75)</f>
        <v>8399.9608000000007</v>
      </c>
      <c r="S75" s="25">
        <f t="shared" si="9"/>
        <v>699.9967333333334</v>
      </c>
      <c r="T75" s="5"/>
    </row>
    <row r="76" spans="3:21" ht="12">
      <c r="C76" s="69" t="s">
        <v>90</v>
      </c>
      <c r="D76" s="69"/>
      <c r="E76" s="69"/>
      <c r="F76" s="3">
        <f>'REALIZADO 2025'!D96*'PREVISTO 2026 REVISADO'!$U$38</f>
        <v>1472.5094999999999</v>
      </c>
      <c r="G76" s="3">
        <f>'REALIZADO 2025'!E96*'PREVISTO 2026 REVISADO'!$U$38</f>
        <v>528.1848</v>
      </c>
      <c r="H76" s="3">
        <f>'REALIZADO 2025'!F96*'PREVISTO 2026 REVISADO'!$U$38</f>
        <v>5585.0652</v>
      </c>
      <c r="I76" s="3">
        <f>'REALIZADO 2025'!G96*'PREVISTO 2026 REVISADO'!$U$38</f>
        <v>6136.9714999999997</v>
      </c>
      <c r="J76" s="3">
        <f>'REALIZADO 2025'!H96*'PREVISTO 2026 REVISADO'!$U$38</f>
        <v>2192.0964999999997</v>
      </c>
      <c r="K76" s="3">
        <f>'REALIZADO 2025'!I96*'PREVISTO 2026 REVISADO'!$U$38</f>
        <v>106.90349999999999</v>
      </c>
      <c r="L76" s="3">
        <f>'REALIZADO 2025'!J96*'PREVISTO 2026 REVISADO'!$U$38</f>
        <v>0</v>
      </c>
      <c r="M76" s="3">
        <f>'REALIZADO 2025'!K96*'PREVISTO 2026 REVISADO'!$U$38</f>
        <v>7941.9999999999991</v>
      </c>
      <c r="N76" s="3">
        <f>'REALIZADO 2025'!L96*'PREVISTO 2026 REVISADO'!$U$38</f>
        <v>5747.5</v>
      </c>
      <c r="O76" s="3">
        <f>'REALIZADO 2025'!M96*'PREVISTO 2026 REVISADO'!$U$38</f>
        <v>415.90999999999997</v>
      </c>
      <c r="P76" s="3">
        <f>'REALIZADO 2025'!N96*'PREVISTO 2026 REVISADO'!$U$38</f>
        <v>1870.2365</v>
      </c>
      <c r="Q76" s="3">
        <f>'REALIZADO 2025'!O96*'PREVISTO 2026 REVISADO'!$U$38</f>
        <v>428.76349999999996</v>
      </c>
      <c r="R76" s="4">
        <v>20000</v>
      </c>
      <c r="S76" s="25">
        <f t="shared" si="9"/>
        <v>1666.6666666666667</v>
      </c>
      <c r="T76" s="5"/>
    </row>
    <row r="77" spans="3:21" ht="12">
      <c r="C77" s="69" t="s">
        <v>91</v>
      </c>
      <c r="D77" s="69"/>
      <c r="E77" s="69"/>
      <c r="F77" s="3">
        <f>'REALIZADO 2025'!D97*'PREVISTO 2026 REVISADO'!$U$38</f>
        <v>2382.6</v>
      </c>
      <c r="G77" s="3">
        <f>'REALIZADO 2025'!E97*'PREVISTO 2026 REVISADO'!$U$38</f>
        <v>2508</v>
      </c>
      <c r="H77" s="3">
        <f>'REALIZADO 2025'!F97*'PREVISTO 2026 REVISADO'!$U$38</f>
        <v>1254</v>
      </c>
      <c r="I77" s="3">
        <f>'REALIZADO 2025'!G97*'PREVISTO 2026 REVISADO'!$U$38</f>
        <v>2591.6</v>
      </c>
      <c r="J77" s="3">
        <f>'REALIZADO 2025'!H97*'PREVISTO 2026 REVISADO'!$U$38</f>
        <v>1254</v>
      </c>
      <c r="K77" s="3">
        <f>'REALIZADO 2025'!I97*'PREVISTO 2026 REVISADO'!$U$38</f>
        <v>1254</v>
      </c>
      <c r="L77" s="3">
        <f>'REALIZADO 2025'!J97*'PREVISTO 2026 REVISADO'!$U$38</f>
        <v>1254</v>
      </c>
      <c r="M77" s="3">
        <f>'REALIZADO 2025'!K97*'PREVISTO 2026 REVISADO'!$U$38</f>
        <v>1254</v>
      </c>
      <c r="N77" s="3">
        <f>'REALIZADO 2025'!L97*'PREVISTO 2026 REVISADO'!$U$38</f>
        <v>1254</v>
      </c>
      <c r="O77" s="3">
        <f>'REALIZADO 2025'!M97*'PREVISTO 2026 REVISADO'!$U$38</f>
        <v>1254</v>
      </c>
      <c r="P77" s="3">
        <f>'REALIZADO 2025'!N97*'PREVISTO 2026 REVISADO'!$U$38</f>
        <v>1672</v>
      </c>
      <c r="Q77" s="3">
        <f>'REALIZADO 2025'!O97*'PREVISTO 2026 REVISADO'!$U$38</f>
        <v>1672</v>
      </c>
      <c r="R77" s="4">
        <f>SUM(F77:Q77)</f>
        <v>19604.2</v>
      </c>
      <c r="S77" s="25">
        <f t="shared" si="9"/>
        <v>1633.6833333333334</v>
      </c>
      <c r="T77" s="5"/>
    </row>
    <row r="78" spans="3:21" ht="12">
      <c r="C78" s="74" t="s">
        <v>92</v>
      </c>
      <c r="D78" s="74"/>
      <c r="E78" s="74"/>
      <c r="F78" s="8">
        <f t="shared" ref="F78:R78" si="13">SUM(F79:F85)</f>
        <v>74062.399949999992</v>
      </c>
      <c r="G78" s="8">
        <f t="shared" si="13"/>
        <v>69791.714850000004</v>
      </c>
      <c r="H78" s="8">
        <f t="shared" si="13"/>
        <v>66502.577350000007</v>
      </c>
      <c r="I78" s="8">
        <f t="shared" si="13"/>
        <v>61074.283049999998</v>
      </c>
      <c r="J78" s="8">
        <f t="shared" si="13"/>
        <v>83086.62285</v>
      </c>
      <c r="K78" s="8">
        <f t="shared" si="13"/>
        <v>79588.203200000004</v>
      </c>
      <c r="L78" s="8">
        <f t="shared" si="13"/>
        <v>78941.128749999989</v>
      </c>
      <c r="M78" s="8">
        <f t="shared" si="13"/>
        <v>79605.330749999994</v>
      </c>
      <c r="N78" s="8">
        <f t="shared" si="13"/>
        <v>80961.740749999983</v>
      </c>
      <c r="O78" s="8">
        <f t="shared" si="13"/>
        <v>81007.950649999999</v>
      </c>
      <c r="P78" s="8">
        <f t="shared" si="13"/>
        <v>82550.151199999993</v>
      </c>
      <c r="Q78" s="8">
        <f t="shared" si="13"/>
        <v>79444.923249999993</v>
      </c>
      <c r="R78" s="9">
        <f t="shared" si="13"/>
        <v>916617.02659999998</v>
      </c>
      <c r="S78" s="28">
        <f t="shared" si="9"/>
        <v>76384.75221666666</v>
      </c>
      <c r="T78" s="12" t="s">
        <v>18</v>
      </c>
      <c r="U78" s="13">
        <v>1.0449999999999999</v>
      </c>
    </row>
    <row r="79" spans="3:21" ht="12">
      <c r="C79" s="69" t="s">
        <v>93</v>
      </c>
      <c r="D79" s="69"/>
      <c r="E79" s="69"/>
      <c r="F79" s="3">
        <f>'REALIZADO 2025'!D99*'PREVISTO 2026 REVISADO'!$U$78</f>
        <v>4117.2999999999993</v>
      </c>
      <c r="G79" s="3">
        <f>'REALIZADO 2025'!E99*'PREVISTO 2026 REVISADO'!$U$78</f>
        <v>2058.6499999999996</v>
      </c>
      <c r="H79" s="3">
        <f>'REALIZADO 2025'!F99*'PREVISTO 2026 REVISADO'!$U$78</f>
        <v>0</v>
      </c>
      <c r="I79" s="3">
        <f>'REALIZADO 2025'!G99*'PREVISTO 2026 REVISADO'!$U$78</f>
        <v>0</v>
      </c>
      <c r="J79" s="3">
        <f>'REALIZADO 2025'!H99*'PREVISTO 2026 REVISADO'!$U$78</f>
        <v>6667.0999999999995</v>
      </c>
      <c r="K79" s="3">
        <f>'REALIZADO 2025'!I99*'PREVISTO 2026 REVISADO'!$U$78</f>
        <v>2304.2249999999999</v>
      </c>
      <c r="L79" s="3">
        <f>'REALIZADO 2025'!J99*'PREVISTO 2026 REVISADO'!$U$78</f>
        <v>2304.2249999999999</v>
      </c>
      <c r="M79" s="3">
        <f>'REALIZADO 2025'!K99*'PREVISTO 2026 REVISADO'!$U$78</f>
        <v>2304.2249999999999</v>
      </c>
      <c r="N79" s="3">
        <f>'REALIZADO 2025'!L99*'PREVISTO 2026 REVISADO'!$U$78</f>
        <v>2304.2249999999999</v>
      </c>
      <c r="O79" s="3">
        <f>'REALIZADO 2025'!M99*'PREVISTO 2026 REVISADO'!$U$78</f>
        <v>5334.94445</v>
      </c>
      <c r="P79" s="3">
        <f>'REALIZADO 2025'!N99*'PREVISTO 2026 REVISADO'!$U$78</f>
        <v>2304.2249999999999</v>
      </c>
      <c r="Q79" s="3">
        <f>'REALIZADO 2025'!O99*'PREVISTO 2026 REVISADO'!$U$78</f>
        <v>2304.2249999999999</v>
      </c>
      <c r="R79" s="4">
        <f t="shared" ref="R79:R85" si="14">SUM(F79:Q79)</f>
        <v>32003.344449999993</v>
      </c>
      <c r="S79" s="25">
        <f t="shared" si="9"/>
        <v>2666.9453708333326</v>
      </c>
      <c r="T79" s="5"/>
    </row>
    <row r="80" spans="3:21" ht="12">
      <c r="C80" s="69" t="s">
        <v>94</v>
      </c>
      <c r="D80" s="69"/>
      <c r="E80" s="69"/>
      <c r="F80" s="3">
        <f>'REALIZADO 2025'!D100*'PREVISTO 2026 REVISADO'!$U$78</f>
        <v>2951.08</v>
      </c>
      <c r="G80" s="3">
        <f>'REALIZADO 2025'!E100*'PREVISTO 2026 REVISADO'!$U$78</f>
        <v>3172.62</v>
      </c>
      <c r="H80" s="3">
        <f>'REALIZADO 2025'!F100*'PREVISTO 2026 REVISADO'!$U$78</f>
        <v>3172.62</v>
      </c>
      <c r="I80" s="3">
        <f>'REALIZADO 2025'!G100*'PREVISTO 2026 REVISADO'!$U$78</f>
        <v>3172.62</v>
      </c>
      <c r="J80" s="3">
        <f>'REALIZADO 2025'!H100*'PREVISTO 2026 REVISADO'!$U$78</f>
        <v>3172.62</v>
      </c>
      <c r="K80" s="3">
        <f>'REALIZADO 2025'!I100*'PREVISTO 2026 REVISADO'!$U$78</f>
        <v>3172.62</v>
      </c>
      <c r="L80" s="3">
        <f>'REALIZADO 2025'!J100*'PREVISTO 2026 REVISADO'!$U$78</f>
        <v>3172.62</v>
      </c>
      <c r="M80" s="3">
        <f>'REALIZADO 2025'!K100*'PREVISTO 2026 REVISADO'!$U$78</f>
        <v>3172.62</v>
      </c>
      <c r="N80" s="3">
        <f>'REALIZADO 2025'!L100*'PREVISTO 2026 REVISADO'!$U$78</f>
        <v>3172.62</v>
      </c>
      <c r="O80" s="3">
        <f>'REALIZADO 2025'!M100*'PREVISTO 2026 REVISADO'!$U$78</f>
        <v>3172.62</v>
      </c>
      <c r="P80" s="3">
        <f>'REALIZADO 2025'!N100*'PREVISTO 2026 REVISADO'!$U$78</f>
        <v>3172.62</v>
      </c>
      <c r="Q80" s="3">
        <f>'REALIZADO 2025'!O100*'PREVISTO 2026 REVISADO'!$U$78</f>
        <v>3172.62</v>
      </c>
      <c r="R80" s="4">
        <f t="shared" si="14"/>
        <v>37849.899999999994</v>
      </c>
      <c r="S80" s="25">
        <f t="shared" si="9"/>
        <v>3154.1583333333328</v>
      </c>
      <c r="T80" s="5"/>
    </row>
    <row r="81" spans="3:21" ht="12">
      <c r="C81" s="69" t="s">
        <v>95</v>
      </c>
      <c r="D81" s="69"/>
      <c r="E81" s="69"/>
      <c r="F81" s="3">
        <f>'REALIZADO 2025'!D101*'PREVISTO 2026 REVISADO'!$U$78</f>
        <v>4270.2671</v>
      </c>
      <c r="G81" s="3">
        <f>'REALIZADO 2025'!E101*'PREVISTO 2026 REVISADO'!$U$78</f>
        <v>3642.0444499999999</v>
      </c>
      <c r="H81" s="3">
        <f>'REALIZADO 2025'!F101*'PREVISTO 2026 REVISADO'!$U$78</f>
        <v>2614.7885499999998</v>
      </c>
      <c r="I81" s="3">
        <f>'REALIZADO 2025'!G101*'PREVISTO 2026 REVISADO'!$U$78</f>
        <v>2692.4738499999999</v>
      </c>
      <c r="J81" s="3">
        <f>'REALIZADO 2025'!H101*'PREVISTO 2026 REVISADO'!$U$78</f>
        <v>2692.4633999999996</v>
      </c>
      <c r="K81" s="3">
        <f>'REALIZADO 2025'!I101*'PREVISTO 2026 REVISADO'!$U$78</f>
        <v>3530.1667499999999</v>
      </c>
      <c r="L81" s="3">
        <f>'REALIZADO 2025'!J101*'PREVISTO 2026 REVISADO'!$U$78</f>
        <v>2792.24</v>
      </c>
      <c r="M81" s="3">
        <f>'REALIZADO 2025'!K101*'PREVISTO 2026 REVISADO'!$U$78</f>
        <v>3253.0849999999996</v>
      </c>
      <c r="N81" s="3">
        <f>'REALIZADO 2025'!L101*'PREVISTO 2026 REVISADO'!$U$78</f>
        <v>2864.3449999999998</v>
      </c>
      <c r="O81" s="3">
        <f>'REALIZADO 2025'!M101*'PREVISTO 2026 REVISADO'!$U$78</f>
        <v>2957.35</v>
      </c>
      <c r="P81" s="3">
        <f>'REALIZADO 2025'!N101*'PREVISTO 2026 REVISADO'!$U$78</f>
        <v>3245.77</v>
      </c>
      <c r="Q81" s="3">
        <f>'REALIZADO 2025'!O101*'PREVISTO 2026 REVISADO'!$U$78</f>
        <v>4425.0524999999998</v>
      </c>
      <c r="R81" s="4">
        <f t="shared" si="14"/>
        <v>38980.046599999994</v>
      </c>
      <c r="S81" s="25">
        <f t="shared" si="9"/>
        <v>3248.3372166666663</v>
      </c>
      <c r="T81" s="5"/>
    </row>
    <row r="82" spans="3:21" ht="12">
      <c r="C82" s="69" t="s">
        <v>96</v>
      </c>
      <c r="D82" s="69"/>
      <c r="E82" s="69"/>
      <c r="F82" s="3">
        <f>'REALIZADO 2025'!D102*'PREVISTO 2026 REVISADO'!$U$78</f>
        <v>58965.410349999998</v>
      </c>
      <c r="G82" s="3">
        <f>'REALIZADO 2025'!E102*'PREVISTO 2026 REVISADO'!$U$78</f>
        <v>58988.8079</v>
      </c>
      <c r="H82" s="3">
        <f>'REALIZADO 2025'!F102*'PREVISTO 2026 REVISADO'!$U$78</f>
        <v>58988.8079</v>
      </c>
      <c r="I82" s="3">
        <f>'REALIZADO 2025'!G102*'PREVISTO 2026 REVISADO'!$U$78</f>
        <v>54895.689200000001</v>
      </c>
      <c r="J82" s="3">
        <f>'REALIZADO 2025'!H102*'PREVISTO 2026 REVISADO'!$U$78</f>
        <v>69237.739450000008</v>
      </c>
      <c r="K82" s="3">
        <f>'REALIZADO 2025'!I102*'PREVISTO 2026 REVISADO'!$U$78</f>
        <v>68417.163650000002</v>
      </c>
      <c r="L82" s="3">
        <f>'REALIZADO 2025'!J102*'PREVISTO 2026 REVISADO'!$U$78</f>
        <v>64109.025749999993</v>
      </c>
      <c r="M82" s="3">
        <f>'REALIZADO 2025'!K102*'PREVISTO 2026 REVISADO'!$U$78</f>
        <v>64109.025749999993</v>
      </c>
      <c r="N82" s="3">
        <f>'REALIZADO 2025'!L102*'PREVISTO 2026 REVISADO'!$U$78</f>
        <v>64109.025749999993</v>
      </c>
      <c r="O82" s="3">
        <f>'REALIZADO 2025'!M102*'PREVISTO 2026 REVISADO'!$U$78</f>
        <v>64109.036199999995</v>
      </c>
      <c r="P82" s="3">
        <f>'REALIZADO 2025'!N102*'PREVISTO 2026 REVISADO'!$U$78</f>
        <v>64109.036199999995</v>
      </c>
      <c r="Q82" s="3">
        <f>'REALIZADO 2025'!O102*'PREVISTO 2026 REVISADO'!$U$78</f>
        <v>64109.025749999993</v>
      </c>
      <c r="R82" s="4">
        <f t="shared" si="14"/>
        <v>754147.7938499999</v>
      </c>
      <c r="S82" s="25">
        <f t="shared" si="9"/>
        <v>62845.649487499992</v>
      </c>
      <c r="T82" s="5"/>
    </row>
    <row r="83" spans="3:21" ht="12">
      <c r="C83" s="69" t="s">
        <v>97</v>
      </c>
      <c r="D83" s="69"/>
      <c r="E83" s="69"/>
      <c r="F83" s="3">
        <f>'REALIZADO 2025'!D103*'PREVISTO 2026 REVISADO'!$U$78</f>
        <v>0</v>
      </c>
      <c r="G83" s="3">
        <f>'REALIZADO 2025'!E103*'PREVISTO 2026 REVISADO'!$U$78</f>
        <v>0</v>
      </c>
      <c r="H83" s="3">
        <f>'REALIZADO 2025'!F103*'PREVISTO 2026 REVISADO'!$U$78</f>
        <v>0</v>
      </c>
      <c r="I83" s="3">
        <f>'REALIZADO 2025'!G103*'PREVISTO 2026 REVISADO'!$U$78</f>
        <v>0</v>
      </c>
      <c r="J83" s="3">
        <f>'REALIZADO 2025'!H103*'PREVISTO 2026 REVISADO'!$U$78</f>
        <v>0</v>
      </c>
      <c r="K83" s="3">
        <f>'REALIZADO 2025'!I103*'PREVISTO 2026 REVISADO'!$U$78</f>
        <v>0</v>
      </c>
      <c r="L83" s="3">
        <f>'REALIZADO 2025'!J103*'PREVISTO 2026 REVISADO'!$U$78</f>
        <v>0</v>
      </c>
      <c r="M83" s="3">
        <f>'REALIZADO 2025'!K103*'PREVISTO 2026 REVISADO'!$U$78</f>
        <v>5198.875</v>
      </c>
      <c r="N83" s="3">
        <f>'REALIZADO 2025'!L103*'PREVISTO 2026 REVISADO'!$U$78</f>
        <v>627</v>
      </c>
      <c r="O83" s="3">
        <f>'REALIZADO 2025'!M103*'PREVISTO 2026 REVISADO'!$U$78</f>
        <v>0</v>
      </c>
      <c r="P83" s="3">
        <f>'REALIZADO 2025'!N103*'PREVISTO 2026 REVISADO'!$U$78</f>
        <v>4702.5</v>
      </c>
      <c r="Q83" s="3">
        <f>'REALIZADO 2025'!O103*'PREVISTO 2026 REVISADO'!$U$78</f>
        <v>0</v>
      </c>
      <c r="R83" s="4">
        <f t="shared" si="14"/>
        <v>10528.375</v>
      </c>
      <c r="S83" s="25">
        <f t="shared" si="9"/>
        <v>877.36458333333337</v>
      </c>
      <c r="T83" s="5"/>
    </row>
    <row r="84" spans="3:21" ht="12">
      <c r="C84" s="69" t="s">
        <v>98</v>
      </c>
      <c r="D84" s="69"/>
      <c r="E84" s="69"/>
      <c r="F84" s="3">
        <f>'REALIZADO 2025'!D104*'PREVISTO 2026 REVISADO'!$U$78</f>
        <v>2508</v>
      </c>
      <c r="G84" s="3">
        <f>'REALIZADO 2025'!E104*'PREVISTO 2026 REVISADO'!$U$78</f>
        <v>679.25</v>
      </c>
      <c r="H84" s="3">
        <f>'REALIZADO 2025'!F104*'PREVISTO 2026 REVISADO'!$U$78</f>
        <v>476.01839999999993</v>
      </c>
      <c r="I84" s="3">
        <f>'REALIZADO 2025'!G104*'PREVISTO 2026 REVISADO'!$U$78</f>
        <v>313.5</v>
      </c>
      <c r="J84" s="3">
        <f>'REALIZADO 2025'!H104*'PREVISTO 2026 REVISADO'!$U$78</f>
        <v>0</v>
      </c>
      <c r="K84" s="3">
        <f>'REALIZADO 2025'!I104*'PREVISTO 2026 REVISADO'!$U$78</f>
        <v>2164.0277999999998</v>
      </c>
      <c r="L84" s="3">
        <f>'REALIZADO 2025'!J104*'PREVISTO 2026 REVISADO'!$U$78</f>
        <v>746.54799999999989</v>
      </c>
      <c r="M84" s="3">
        <f>'REALIZADO 2025'!K104*'PREVISTO 2026 REVISADO'!$U$78</f>
        <v>1567.5</v>
      </c>
      <c r="N84" s="3">
        <f>'REALIZADO 2025'!L104*'PREVISTO 2026 REVISADO'!$U$78</f>
        <v>0</v>
      </c>
      <c r="O84" s="3">
        <f>'REALIZADO 2025'!M104*'PREVISTO 2026 REVISADO'!$U$78</f>
        <v>418</v>
      </c>
      <c r="P84" s="3">
        <f>'REALIZADO 2025'!N104*'PREVISTO 2026 REVISADO'!$U$78</f>
        <v>0</v>
      </c>
      <c r="Q84" s="3">
        <f>'REALIZADO 2025'!O104*'PREVISTO 2026 REVISADO'!$U$78</f>
        <v>418</v>
      </c>
      <c r="R84" s="4">
        <f t="shared" si="14"/>
        <v>9290.8441999999995</v>
      </c>
      <c r="S84" s="25">
        <f t="shared" si="9"/>
        <v>774.23701666666659</v>
      </c>
      <c r="T84" s="5"/>
    </row>
    <row r="85" spans="3:21" ht="12">
      <c r="C85" s="69" t="s">
        <v>99</v>
      </c>
      <c r="D85" s="69"/>
      <c r="E85" s="69"/>
      <c r="F85" s="3">
        <f>'REALIZADO 2025'!D106*'PREVISTO 2026 REVISADO'!$U$78</f>
        <v>1250.3425</v>
      </c>
      <c r="G85" s="3">
        <f>'REALIZADO 2025'!E106*'PREVISTO 2026 REVISADO'!$U$78</f>
        <v>1250.3425</v>
      </c>
      <c r="H85" s="3">
        <f>'REALIZADO 2025'!F106*'PREVISTO 2026 REVISADO'!$U$78</f>
        <v>1250.3425</v>
      </c>
      <c r="I85" s="3">
        <f>'REALIZADO 2025'!G106*'PREVISTO 2026 REVISADO'!$U$78</f>
        <v>0</v>
      </c>
      <c r="J85" s="3">
        <f>'REALIZADO 2025'!H106*'PREVISTO 2026 REVISADO'!$U$78</f>
        <v>1316.6999999999998</v>
      </c>
      <c r="K85" s="3">
        <f>'REALIZADO 2025'!I106*'PREVISTO 2026 REVISADO'!$U$78</f>
        <v>0</v>
      </c>
      <c r="L85" s="3">
        <f>'REALIZADO 2025'!J106*'PREVISTO 2026 REVISADO'!$U$78</f>
        <v>5816.4699999999993</v>
      </c>
      <c r="M85" s="3">
        <f>'REALIZADO 2025'!K106*'PREVISTO 2026 REVISADO'!$U$78</f>
        <v>0</v>
      </c>
      <c r="N85" s="3">
        <f>'REALIZADO 2025'!L106*'PREVISTO 2026 REVISADO'!$U$78</f>
        <v>7884.5249999999996</v>
      </c>
      <c r="O85" s="3">
        <f>'REALIZADO 2025'!M106*'PREVISTO 2026 REVISADO'!$U$78</f>
        <v>5016</v>
      </c>
      <c r="P85" s="3">
        <f>'REALIZADO 2025'!N106*'PREVISTO 2026 REVISADO'!$U$78</f>
        <v>5016</v>
      </c>
      <c r="Q85" s="3">
        <f>'REALIZADO 2025'!O106*'PREVISTO 2026 REVISADO'!$U$78</f>
        <v>5016</v>
      </c>
      <c r="R85" s="4">
        <f t="shared" si="14"/>
        <v>33816.722499999996</v>
      </c>
      <c r="S85" s="25">
        <f t="shared" si="9"/>
        <v>2818.0602083333329</v>
      </c>
      <c r="T85" s="5"/>
    </row>
    <row r="86" spans="3:21" ht="12">
      <c r="C86" s="74" t="s">
        <v>100</v>
      </c>
      <c r="D86" s="74"/>
      <c r="E86" s="74"/>
      <c r="F86" s="8">
        <f>SUM(F87:F98)</f>
        <v>15905.234399999999</v>
      </c>
      <c r="G86" s="8">
        <f t="shared" ref="G86:Q86" si="15">SUM(G87:G98)</f>
        <v>21901.245849999992</v>
      </c>
      <c r="H86" s="8">
        <f t="shared" si="15"/>
        <v>21263.147949999995</v>
      </c>
      <c r="I86" s="8">
        <f t="shared" si="15"/>
        <v>9530.8075499999995</v>
      </c>
      <c r="J86" s="8">
        <f t="shared" si="15"/>
        <v>35037.606450000007</v>
      </c>
      <c r="K86" s="8">
        <f t="shared" si="15"/>
        <v>20789.78385</v>
      </c>
      <c r="L86" s="8">
        <f t="shared" si="15"/>
        <v>22684.745049999998</v>
      </c>
      <c r="M86" s="8">
        <f t="shared" si="15"/>
        <v>22941.177599999999</v>
      </c>
      <c r="N86" s="8">
        <f t="shared" si="15"/>
        <v>16472.094650000003</v>
      </c>
      <c r="O86" s="8">
        <f t="shared" si="15"/>
        <v>20030.570449999999</v>
      </c>
      <c r="P86" s="8">
        <f t="shared" si="15"/>
        <v>22049.207399999996</v>
      </c>
      <c r="Q86" s="8">
        <f t="shared" si="15"/>
        <v>10774.179899999997</v>
      </c>
      <c r="R86" s="9">
        <f>SUM(R87:R98)</f>
        <v>167560.79994999999</v>
      </c>
      <c r="S86" s="28">
        <f>R86/12</f>
        <v>13963.399995833332</v>
      </c>
      <c r="T86" s="12" t="s">
        <v>18</v>
      </c>
      <c r="U86" s="13">
        <v>1.0449999999999999</v>
      </c>
    </row>
    <row r="87" spans="3:21" ht="12">
      <c r="C87" s="69" t="s">
        <v>101</v>
      </c>
      <c r="D87" s="69"/>
      <c r="E87" s="69"/>
      <c r="F87" s="3">
        <f>'REALIZADO 2025'!D109*'PREVISTO 2026 REVISADO'!$U$86</f>
        <v>11147.161299999998</v>
      </c>
      <c r="G87" s="3">
        <f>'REALIZADO 2025'!E109*'PREVISTO 2026 REVISADO'!$U$86</f>
        <v>13803.467699999999</v>
      </c>
      <c r="H87" s="3">
        <f>'REALIZADO 2025'!F109*'PREVISTO 2026 REVISADO'!$U$86</f>
        <v>13427.445349999998</v>
      </c>
      <c r="I87" s="3">
        <f>'REALIZADO 2025'!G109*'PREVISTO 2026 REVISADO'!$U$86</f>
        <v>0</v>
      </c>
      <c r="J87" s="3">
        <f>'REALIZADO 2025'!H109*'PREVISTO 2026 REVISADO'!$U$86</f>
        <v>28468.809600000001</v>
      </c>
      <c r="K87" s="3">
        <f>'REALIZADO 2025'!I109*'PREVISTO 2026 REVISADO'!$U$86</f>
        <v>12181.690399999999</v>
      </c>
      <c r="L87" s="3">
        <f>'REALIZADO 2025'!J109*'PREVISTO 2026 REVISADO'!$U$86</f>
        <v>11368.02205</v>
      </c>
      <c r="M87" s="3">
        <f>'REALIZADO 2025'!K109*'PREVISTO 2026 REVISADO'!$U$86</f>
        <v>12092.41605</v>
      </c>
      <c r="N87" s="3">
        <f>'REALIZADO 2025'!L109*'PREVISTO 2026 REVISADO'!$U$86</f>
        <v>10096.90495</v>
      </c>
      <c r="O87" s="3">
        <f>'REALIZADO 2025'!M109*'PREVISTO 2026 REVISADO'!$U$86</f>
        <v>11488.604599999999</v>
      </c>
      <c r="P87" s="3">
        <f>'REALIZADO 2025'!N109*'PREVISTO 2026 REVISADO'!$U$86</f>
        <v>10722.0762</v>
      </c>
      <c r="Q87" s="3">
        <f>'REALIZADO 2025'!O109*'PREVISTO 2026 REVISADO'!$U$86</f>
        <v>3925.4797999999996</v>
      </c>
      <c r="R87" s="4">
        <v>70000</v>
      </c>
      <c r="S87" s="25">
        <f t="shared" si="9"/>
        <v>5833.333333333333</v>
      </c>
      <c r="T87" s="5"/>
    </row>
    <row r="88" spans="3:21" ht="12">
      <c r="C88" s="69" t="s">
        <v>102</v>
      </c>
      <c r="D88" s="69"/>
      <c r="E88" s="69"/>
      <c r="F88" s="3">
        <f>'REALIZADO 2025'!D110*'PREVISTO 2026 REVISADO'!$U$86</f>
        <v>1863.7366</v>
      </c>
      <c r="G88" s="3">
        <f>'REALIZADO 2025'!E110*'PREVISTO 2026 REVISADO'!$U$86</f>
        <v>1517.8625</v>
      </c>
      <c r="H88" s="3">
        <f>'REALIZADO 2025'!F110*'PREVISTO 2026 REVISADO'!$U$86</f>
        <v>2064.8155000000002</v>
      </c>
      <c r="I88" s="3">
        <f>'REALIZADO 2025'!G110*'PREVISTO 2026 REVISADO'!$U$86</f>
        <v>2181.1239999999998</v>
      </c>
      <c r="J88" s="3">
        <f>'REALIZADO 2025'!H110*'PREVISTO 2026 REVISADO'!$U$86</f>
        <v>1091.8264499999998</v>
      </c>
      <c r="K88" s="3">
        <f>'REALIZADO 2025'!I110*'PREVISTO 2026 REVISADO'!$U$86</f>
        <v>2025.4085499999999</v>
      </c>
      <c r="L88" s="3">
        <f>'REALIZADO 2025'!J110*'PREVISTO 2026 REVISADO'!$U$86</f>
        <v>5704.5504999999994</v>
      </c>
      <c r="M88" s="3">
        <f>'REALIZADO 2025'!K110*'PREVISTO 2026 REVISADO'!$U$86</f>
        <v>2946.6909999999998</v>
      </c>
      <c r="N88" s="3">
        <f>'REALIZADO 2025'!L110*'PREVISTO 2026 REVISADO'!$U$86</f>
        <v>0</v>
      </c>
      <c r="O88" s="3">
        <f>'REALIZADO 2025'!M110*'PREVISTO 2026 REVISADO'!$U$86</f>
        <v>3531.4938999999999</v>
      </c>
      <c r="P88" s="3">
        <f>'REALIZADO 2025'!N110*'PREVISTO 2026 REVISADO'!$U$86</f>
        <v>2828.6791499999995</v>
      </c>
      <c r="Q88" s="3">
        <f>'REALIZADO 2025'!O110*'PREVISTO 2026 REVISADO'!$U$86</f>
        <v>1340.7349999999999</v>
      </c>
      <c r="R88" s="4">
        <v>24000</v>
      </c>
      <c r="S88" s="25">
        <f t="shared" si="9"/>
        <v>2000</v>
      </c>
      <c r="T88" s="5"/>
    </row>
    <row r="89" spans="3:21" ht="12">
      <c r="C89" s="69" t="s">
        <v>103</v>
      </c>
      <c r="D89" s="69"/>
      <c r="E89" s="69"/>
      <c r="F89" s="3">
        <f>'REALIZADO 2025'!D111*'PREVISTO 2026 REVISADO'!$U$86</f>
        <v>0</v>
      </c>
      <c r="G89" s="3">
        <f>'REALIZADO 2025'!E111*'PREVISTO 2026 REVISADO'!$U$86</f>
        <v>0</v>
      </c>
      <c r="H89" s="3">
        <f>'REALIZADO 2025'!F111*'PREVISTO 2026 REVISADO'!$U$86</f>
        <v>276.19349999999997</v>
      </c>
      <c r="I89" s="3">
        <f>'REALIZADO 2025'!G111*'PREVISTO 2026 REVISADO'!$U$86</f>
        <v>64.319749999999999</v>
      </c>
      <c r="J89" s="3">
        <f>'REALIZADO 2025'!H111*'PREVISTO 2026 REVISADO'!$U$86</f>
        <v>0</v>
      </c>
      <c r="K89" s="3">
        <f>'REALIZADO 2025'!I111*'PREVISTO 2026 REVISADO'!$U$86</f>
        <v>1661.55</v>
      </c>
      <c r="L89" s="3">
        <f>'REALIZADO 2025'!J111*'PREVISTO 2026 REVISADO'!$U$86</f>
        <v>852.71999999999991</v>
      </c>
      <c r="M89" s="3">
        <f>'REALIZADO 2025'!K111*'PREVISTO 2026 REVISADO'!$U$86</f>
        <v>2309.4499999999998</v>
      </c>
      <c r="N89" s="3">
        <f>'REALIZADO 2025'!L111*'PREVISTO 2026 REVISADO'!$U$86</f>
        <v>1546.6</v>
      </c>
      <c r="O89" s="3">
        <f>'REALIZADO 2025'!M111*'PREVISTO 2026 REVISADO'!$U$86</f>
        <v>129.39189999999999</v>
      </c>
      <c r="P89" s="3">
        <f>'REALIZADO 2025'!N111*'PREVISTO 2026 REVISADO'!$U$86</f>
        <v>1546.6</v>
      </c>
      <c r="Q89" s="3">
        <f>'REALIZADO 2025'!O111*'PREVISTO 2026 REVISADO'!$U$86</f>
        <v>0</v>
      </c>
      <c r="R89" s="4">
        <f t="shared" ref="R89:R98" si="16">SUM(F89:Q89)</f>
        <v>8386.8251499999988</v>
      </c>
      <c r="S89" s="25">
        <f t="shared" si="9"/>
        <v>698.90209583333319</v>
      </c>
      <c r="T89" s="5"/>
    </row>
    <row r="90" spans="3:21" ht="12">
      <c r="C90" s="69" t="s">
        <v>104</v>
      </c>
      <c r="D90" s="69"/>
      <c r="E90" s="69"/>
      <c r="F90" s="3">
        <f>'REALIZADO 2025'!D112*'PREVISTO 2026 REVISADO'!$U$86</f>
        <v>169.6035</v>
      </c>
      <c r="G90" s="3">
        <f>'REALIZADO 2025'!E112*'PREVISTO 2026 REVISADO'!$U$86</f>
        <v>366.32474999999999</v>
      </c>
      <c r="H90" s="3">
        <f>'REALIZADO 2025'!F112*'PREVISTO 2026 REVISADO'!$U$86</f>
        <v>196.72125</v>
      </c>
      <c r="I90" s="3">
        <f>'REALIZADO 2025'!G112*'PREVISTO 2026 REVISADO'!$U$86</f>
        <v>169.6035</v>
      </c>
      <c r="J90" s="3">
        <f>'REALIZADO 2025'!H112*'PREVISTO 2026 REVISADO'!$U$86</f>
        <v>169.6035</v>
      </c>
      <c r="K90" s="3">
        <f>'REALIZADO 2025'!I112*'PREVISTO 2026 REVISADO'!$U$86</f>
        <v>0</v>
      </c>
      <c r="L90" s="3">
        <f>'REALIZADO 2025'!J112*'PREVISTO 2026 REVISADO'!$U$86</f>
        <v>0</v>
      </c>
      <c r="M90" s="3">
        <f>'REALIZADO 2025'!K112*'PREVISTO 2026 REVISADO'!$U$86</f>
        <v>182.56149999999997</v>
      </c>
      <c r="N90" s="3">
        <f>'REALIZADO 2025'!L112*'PREVISTO 2026 REVISADO'!$U$86</f>
        <v>196.251</v>
      </c>
      <c r="O90" s="3">
        <f>'REALIZADO 2025'!M112*'PREVISTO 2026 REVISADO'!$U$86</f>
        <v>0</v>
      </c>
      <c r="P90" s="3">
        <f>'REALIZADO 2025'!N112*'PREVISTO 2026 REVISADO'!$U$86</f>
        <v>0</v>
      </c>
      <c r="Q90" s="3">
        <f>'REALIZADO 2025'!O112*'PREVISTO 2026 REVISADO'!$U$86</f>
        <v>0</v>
      </c>
      <c r="R90" s="4">
        <f t="shared" si="16"/>
        <v>1450.6689999999999</v>
      </c>
      <c r="S90" s="25">
        <f t="shared" si="9"/>
        <v>120.88908333333332</v>
      </c>
      <c r="T90" s="5"/>
    </row>
    <row r="91" spans="3:21" ht="12">
      <c r="C91" s="69" t="s">
        <v>105</v>
      </c>
      <c r="D91" s="69"/>
      <c r="E91" s="69"/>
      <c r="F91" s="3">
        <f>'REALIZADO 2025'!D113*'PREVISTO 2026 REVISADO'!$U$86</f>
        <v>0</v>
      </c>
      <c r="G91" s="3">
        <f>'REALIZADO 2025'!E113*'PREVISTO 2026 REVISADO'!$U$86</f>
        <v>2439.7823999999996</v>
      </c>
      <c r="H91" s="3">
        <f>'REALIZADO 2025'!F113*'PREVISTO 2026 REVISADO'!$U$86</f>
        <v>2439.7823999999996</v>
      </c>
      <c r="I91" s="3">
        <f>'REALIZADO 2025'!G113*'PREVISTO 2026 REVISADO'!$U$86</f>
        <v>2439.7823999999996</v>
      </c>
      <c r="J91" s="3">
        <f>'REALIZADO 2025'!H113*'PREVISTO 2026 REVISADO'!$U$86</f>
        <v>2439.7823999999996</v>
      </c>
      <c r="K91" s="3">
        <f>'REALIZADO 2025'!I113*'PREVISTO 2026 REVISADO'!$U$86</f>
        <v>2439.7823999999996</v>
      </c>
      <c r="L91" s="3">
        <f>'REALIZADO 2025'!J113*'PREVISTO 2026 REVISADO'!$U$86</f>
        <v>2439.7823999999996</v>
      </c>
      <c r="M91" s="3">
        <f>'REALIZADO 2025'!K113*'PREVISTO 2026 REVISADO'!$U$86</f>
        <v>2439.7823999999996</v>
      </c>
      <c r="N91" s="3">
        <f>'REALIZADO 2025'!L113*'PREVISTO 2026 REVISADO'!$U$86</f>
        <v>2439.7823999999996</v>
      </c>
      <c r="O91" s="3">
        <f>'REALIZADO 2025'!M113*'PREVISTO 2026 REVISADO'!$U$86</f>
        <v>2439.7823999999996</v>
      </c>
      <c r="P91" s="3">
        <f>'REALIZADO 2025'!N113*'PREVISTO 2026 REVISADO'!$U$86</f>
        <v>2649.4512</v>
      </c>
      <c r="Q91" s="3">
        <f>'REALIZADO 2025'!O113*'PREVISTO 2026 REVISADO'!$U$86</f>
        <v>2649.4512</v>
      </c>
      <c r="R91" s="4">
        <f t="shared" si="16"/>
        <v>27256.943999999996</v>
      </c>
      <c r="S91" s="25">
        <f t="shared" si="9"/>
        <v>2271.4119999999998</v>
      </c>
      <c r="T91" s="5"/>
    </row>
    <row r="92" spans="3:21" ht="12">
      <c r="C92" s="69" t="s">
        <v>106</v>
      </c>
      <c r="D92" s="69"/>
      <c r="E92" s="69"/>
      <c r="F92" s="3">
        <f>'REALIZADO 2025'!D114*'PREVISTO 2026 REVISADO'!$U$86</f>
        <v>102.8489</v>
      </c>
      <c r="G92" s="3">
        <f>'REALIZADO 2025'!E114*'PREVISTO 2026 REVISADO'!$U$86</f>
        <v>105.09564999999999</v>
      </c>
      <c r="H92" s="3">
        <f>'REALIZADO 2025'!F114*'PREVISTO 2026 REVISADO'!$U$86</f>
        <v>104.92844999999998</v>
      </c>
      <c r="I92" s="3">
        <f>'REALIZADO 2025'!G114*'PREVISTO 2026 REVISADO'!$U$86</f>
        <v>104.92844999999998</v>
      </c>
      <c r="J92" s="3">
        <f>'REALIZADO 2025'!H114*'PREVISTO 2026 REVISADO'!$U$86</f>
        <v>102.8489</v>
      </c>
      <c r="K92" s="3">
        <f>'REALIZADO 2025'!I114*'PREVISTO 2026 REVISADO'!$U$86</f>
        <v>0</v>
      </c>
      <c r="L92" s="3">
        <f>'REALIZADO 2025'!J114*'PREVISTO 2026 REVISADO'!$U$86</f>
        <v>102.8489</v>
      </c>
      <c r="M92" s="3">
        <f>'REALIZADO 2025'!K114*'PREVISTO 2026 REVISADO'!$U$86</f>
        <v>102.8489</v>
      </c>
      <c r="N92" s="3">
        <f>'REALIZADO 2025'!L114*'PREVISTO 2026 REVISADO'!$U$86</f>
        <v>102.8489</v>
      </c>
      <c r="O92" s="3">
        <f>'REALIZADO 2025'!M114*'PREVISTO 2026 REVISADO'!$U$86</f>
        <v>102.8489</v>
      </c>
      <c r="P92" s="3">
        <f>'REALIZADO 2025'!N114*'PREVISTO 2026 REVISADO'!$U$86</f>
        <v>102.8489</v>
      </c>
      <c r="Q92" s="3">
        <f>'REALIZADO 2025'!O114*'PREVISTO 2026 REVISADO'!$U$86</f>
        <v>92.273499999999984</v>
      </c>
      <c r="R92" s="4">
        <f t="shared" si="16"/>
        <v>1127.1683499999999</v>
      </c>
      <c r="S92" s="25">
        <f t="shared" si="9"/>
        <v>93.930695833333331</v>
      </c>
      <c r="T92" s="5"/>
    </row>
    <row r="93" spans="3:21" ht="12">
      <c r="C93" s="69" t="s">
        <v>107</v>
      </c>
      <c r="D93" s="69"/>
      <c r="E93" s="69"/>
      <c r="F93" s="3">
        <f>'REALIZADO 2025'!D115*'PREVISTO 2026 REVISADO'!$U$86</f>
        <v>208.98955000000001</v>
      </c>
      <c r="G93" s="3">
        <f>'REALIZADO 2025'!E115*'PREVISTO 2026 REVISADO'!$U$86</f>
        <v>594.66769999999985</v>
      </c>
      <c r="H93" s="3">
        <f>'REALIZADO 2025'!F115*'PREVISTO 2026 REVISADO'!$U$86</f>
        <v>188.39259999999999</v>
      </c>
      <c r="I93" s="3">
        <f>'REALIZADO 2025'!G115*'PREVISTO 2026 REVISADO'!$U$86</f>
        <v>619.47599999999989</v>
      </c>
      <c r="J93" s="3">
        <f>'REALIZADO 2025'!H115*'PREVISTO 2026 REVISADO'!$U$86</f>
        <v>411.88674999999995</v>
      </c>
      <c r="K93" s="3">
        <f>'REALIZADO 2025'!I115*'PREVISTO 2026 REVISADO'!$U$86</f>
        <v>197.48409999999998</v>
      </c>
      <c r="L93" s="3">
        <f>'REALIZADO 2025'!J115*'PREVISTO 2026 REVISADO'!$U$86</f>
        <v>312.36095</v>
      </c>
      <c r="M93" s="3">
        <f>'REALIZADO 2025'!K115*'PREVISTO 2026 REVISADO'!$U$86</f>
        <v>0</v>
      </c>
      <c r="N93" s="3">
        <f>'REALIZADO 2025'!L115*'PREVISTO 2026 REVISADO'!$U$86</f>
        <v>208.98955000000001</v>
      </c>
      <c r="O93" s="3">
        <f>'REALIZADO 2025'!M115*'PREVISTO 2026 REVISADO'!$U$86</f>
        <v>197.72444999999999</v>
      </c>
      <c r="P93" s="3">
        <f>'REALIZADO 2025'!N115*'PREVISTO 2026 REVISADO'!$U$86</f>
        <v>441.06314999999995</v>
      </c>
      <c r="Q93" s="3">
        <f>'REALIZADO 2025'!O115*'PREVISTO 2026 REVISADO'!$U$86</f>
        <v>88.626449999999991</v>
      </c>
      <c r="R93" s="4">
        <f t="shared" si="16"/>
        <v>3469.6612500000001</v>
      </c>
      <c r="S93" s="25">
        <f t="shared" si="9"/>
        <v>289.13843750000001</v>
      </c>
      <c r="T93" s="5"/>
    </row>
    <row r="94" spans="3:21" ht="12">
      <c r="C94" s="69" t="s">
        <v>108</v>
      </c>
      <c r="D94" s="69"/>
      <c r="E94" s="69"/>
      <c r="F94" s="3">
        <f>'REALIZADO 2025'!D116*'PREVISTO 2026 REVISADO'!$U$86</f>
        <v>0</v>
      </c>
      <c r="G94" s="3">
        <f>'REALIZADO 2025'!E116*'PREVISTO 2026 REVISADO'!$U$86</f>
        <v>128.21105</v>
      </c>
      <c r="H94" s="3">
        <f>'REALIZADO 2025'!F116*'PREVISTO 2026 REVISADO'!$U$86</f>
        <v>256.4221</v>
      </c>
      <c r="I94" s="3">
        <f>'REALIZADO 2025'!G116*'PREVISTO 2026 REVISADO'!$U$86</f>
        <v>9.5408500000000007</v>
      </c>
      <c r="J94" s="3">
        <f>'REALIZADO 2025'!H116*'PREVISTO 2026 REVISADO'!$U$86</f>
        <v>128.21105</v>
      </c>
      <c r="K94" s="3">
        <f>'REALIZADO 2025'!I116*'PREVISTO 2026 REVISADO'!$U$86</f>
        <v>140.35395</v>
      </c>
      <c r="L94" s="3">
        <f>'REALIZADO 2025'!J116*'PREVISTO 2026 REVISADO'!$U$86</f>
        <v>0</v>
      </c>
      <c r="M94" s="3">
        <f>'REALIZADO 2025'!K116*'PREVISTO 2026 REVISADO'!$U$86</f>
        <v>335.35095000000001</v>
      </c>
      <c r="N94" s="3">
        <f>'REALIZADO 2025'!L116*'PREVISTO 2026 REVISADO'!$U$86</f>
        <v>140.11359999999999</v>
      </c>
      <c r="O94" s="3">
        <f>'REALIZADO 2025'!M116*'PREVISTO 2026 REVISADO'!$U$86</f>
        <v>140.90779999999998</v>
      </c>
      <c r="P94" s="3">
        <f>'REALIZADO 2025'!N116*'PREVISTO 2026 REVISADO'!$U$86</f>
        <v>140.90779999999998</v>
      </c>
      <c r="Q94" s="3">
        <f>'REALIZADO 2025'!O116*'PREVISTO 2026 REVISADO'!$U$86</f>
        <v>140.90779999999998</v>
      </c>
      <c r="R94" s="4">
        <f t="shared" si="16"/>
        <v>1560.9269499999998</v>
      </c>
      <c r="S94" s="25">
        <f t="shared" si="9"/>
        <v>130.07724583333331</v>
      </c>
      <c r="T94" s="5"/>
    </row>
    <row r="95" spans="3:21" ht="12">
      <c r="C95" s="69" t="s">
        <v>109</v>
      </c>
      <c r="D95" s="69"/>
      <c r="E95" s="69"/>
      <c r="F95" s="3">
        <f>'REALIZADO 2025'!D117*'PREVISTO 2026 REVISADO'!$U$86</f>
        <v>101.25004999999999</v>
      </c>
      <c r="G95" s="3">
        <f>'REALIZADO 2025'!E117*'PREVISTO 2026 REVISADO'!$U$86</f>
        <v>101.25004999999999</v>
      </c>
      <c r="H95" s="3">
        <f>'REALIZADO 2025'!F117*'PREVISTO 2026 REVISADO'!$U$86</f>
        <v>101.25004999999999</v>
      </c>
      <c r="I95" s="3">
        <f>'REALIZADO 2025'!G117*'PREVISTO 2026 REVISADO'!$U$86</f>
        <v>101.25004999999999</v>
      </c>
      <c r="J95" s="3">
        <f>'REALIZADO 2025'!H117*'PREVISTO 2026 REVISADO'!$U$86</f>
        <v>0</v>
      </c>
      <c r="K95" s="3">
        <f>'REALIZADO 2025'!I117*'PREVISTO 2026 REVISADO'!$U$86</f>
        <v>550.70454999999993</v>
      </c>
      <c r="L95" s="3">
        <f>'REALIZADO 2025'!J117*'PREVISTO 2026 REVISADO'!$U$86</f>
        <v>137.75189999999998</v>
      </c>
      <c r="M95" s="3">
        <f>'REALIZADO 2025'!K117*'PREVISTO 2026 REVISADO'!$U$86</f>
        <v>352.46805000000001</v>
      </c>
      <c r="N95" s="3">
        <f>'REALIZADO 2025'!L117*'PREVISTO 2026 REVISADO'!$U$86</f>
        <v>97.007349999999988</v>
      </c>
      <c r="O95" s="3">
        <f>'REALIZADO 2025'!M117*'PREVISTO 2026 REVISADO'!$U$86</f>
        <v>310.67849999999999</v>
      </c>
      <c r="P95" s="3">
        <f>'REALIZADO 2025'!N117*'PREVISTO 2026 REVISADO'!$U$86</f>
        <v>208.98955000000001</v>
      </c>
      <c r="Q95" s="3">
        <f>'REALIZADO 2025'!O117*'PREVISTO 2026 REVISADO'!$U$86</f>
        <v>308.93334999999996</v>
      </c>
      <c r="R95" s="4">
        <f t="shared" si="16"/>
        <v>2371.5334499999994</v>
      </c>
      <c r="S95" s="25">
        <f t="shared" si="9"/>
        <v>197.62778749999995</v>
      </c>
      <c r="T95" s="5"/>
    </row>
    <row r="96" spans="3:21" ht="12">
      <c r="C96" s="69" t="s">
        <v>110</v>
      </c>
      <c r="D96" s="69"/>
      <c r="E96" s="69"/>
      <c r="F96" s="3">
        <f>'REALIZADO 2025'!D118*'PREVISTO 2026 REVISADO'!$U$86</f>
        <v>36.470499999999994</v>
      </c>
      <c r="G96" s="3">
        <f>'REALIZADO 2025'!E118*'PREVISTO 2026 REVISADO'!$U$86</f>
        <v>36.470499999999994</v>
      </c>
      <c r="H96" s="3">
        <f>'REALIZADO 2025'!F118*'PREVISTO 2026 REVISADO'!$U$86</f>
        <v>36.470499999999994</v>
      </c>
      <c r="I96" s="3">
        <f>'REALIZADO 2025'!G118*'PREVISTO 2026 REVISADO'!$U$86</f>
        <v>36.470499999999994</v>
      </c>
      <c r="J96" s="3">
        <f>'REALIZADO 2025'!H118*'PREVISTO 2026 REVISADO'!$U$86</f>
        <v>36.470499999999994</v>
      </c>
      <c r="K96" s="3">
        <f>'REALIZADO 2025'!I118*'PREVISTO 2026 REVISADO'!$U$86</f>
        <v>0</v>
      </c>
      <c r="L96" s="3">
        <f>'REALIZADO 2025'!J118*'PREVISTO 2026 REVISADO'!$U$86</f>
        <v>36.470499999999994</v>
      </c>
      <c r="M96" s="3">
        <f>'REALIZADO 2025'!K118*'PREVISTO 2026 REVISADO'!$U$86</f>
        <v>36.470499999999994</v>
      </c>
      <c r="N96" s="3">
        <f>'REALIZADO 2025'!L118*'PREVISTO 2026 REVISADO'!$U$86</f>
        <v>36.470499999999994</v>
      </c>
      <c r="O96" s="3">
        <f>'REALIZADO 2025'!M118*'PREVISTO 2026 REVISADO'!$U$86</f>
        <v>36.470499999999994</v>
      </c>
      <c r="P96" s="3">
        <f>'REALIZADO 2025'!N118*'PREVISTO 2026 REVISADO'!$U$86</f>
        <v>36.470499999999994</v>
      </c>
      <c r="Q96" s="3">
        <f>'REALIZADO 2025'!O118*'PREVISTO 2026 REVISADO'!$U$86</f>
        <v>36.470499999999994</v>
      </c>
      <c r="R96" s="4">
        <f t="shared" si="16"/>
        <v>401.1755</v>
      </c>
      <c r="S96" s="25">
        <f t="shared" si="9"/>
        <v>33.431291666666667</v>
      </c>
      <c r="T96" s="5"/>
    </row>
    <row r="97" spans="3:20" ht="12">
      <c r="C97" s="69" t="s">
        <v>111</v>
      </c>
      <c r="D97" s="69"/>
      <c r="E97" s="69"/>
      <c r="F97" s="3">
        <f>'REALIZADO 2025'!D119*'PREVISTO 2026 REVISADO'!$U$86</f>
        <v>762.84999999999991</v>
      </c>
      <c r="G97" s="3">
        <f>'REALIZADO 2025'!E119*'PREVISTO 2026 REVISADO'!$U$86</f>
        <v>0</v>
      </c>
      <c r="H97" s="3">
        <f>'REALIZADO 2025'!F119*'PREVISTO 2026 REVISADO'!$U$86</f>
        <v>0</v>
      </c>
      <c r="I97" s="3">
        <f>'REALIZADO 2025'!G119*'PREVISTO 2026 REVISADO'!$U$86</f>
        <v>893.47499999999991</v>
      </c>
      <c r="J97" s="3">
        <f>'REALIZADO 2025'!H119*'PREVISTO 2026 REVISADO'!$U$86</f>
        <v>0</v>
      </c>
      <c r="K97" s="3">
        <f>'REALIZADO 2025'!I119*'PREVISTO 2026 REVISADO'!$U$86</f>
        <v>0</v>
      </c>
      <c r="L97" s="3">
        <f>'REALIZADO 2025'!J119*'PREVISTO 2026 REVISADO'!$U$86</f>
        <v>0</v>
      </c>
      <c r="M97" s="3">
        <f>'REALIZADO 2025'!K119*'PREVISTO 2026 REVISADO'!$U$86</f>
        <v>893.47499999999991</v>
      </c>
      <c r="N97" s="3">
        <f>'REALIZADO 2025'!L119*'PREVISTO 2026 REVISADO'!$U$86</f>
        <v>0</v>
      </c>
      <c r="O97" s="3">
        <f>'REALIZADO 2025'!M119*'PREVISTO 2026 REVISADO'!$U$86</f>
        <v>0</v>
      </c>
      <c r="P97" s="3">
        <f>'REALIZADO 2025'!N119*'PREVISTO 2026 REVISADO'!$U$86</f>
        <v>893.47499999999991</v>
      </c>
      <c r="Q97" s="3">
        <f>'REALIZADO 2025'!O119*'PREVISTO 2026 REVISADO'!$U$86</f>
        <v>0</v>
      </c>
      <c r="R97" s="4">
        <f t="shared" si="16"/>
        <v>3443.2749999999996</v>
      </c>
      <c r="S97" s="25">
        <f t="shared" si="9"/>
        <v>286.9395833333333</v>
      </c>
      <c r="T97" s="5"/>
    </row>
    <row r="98" spans="3:20" ht="12">
      <c r="C98" s="69" t="s">
        <v>112</v>
      </c>
      <c r="D98" s="69"/>
      <c r="E98" s="69"/>
      <c r="F98" s="3">
        <f>'REALIZADO 2025'!D120*'PREVISTO 2026 REVISADO'!$U$86</f>
        <v>1512.3239999999998</v>
      </c>
      <c r="G98" s="3">
        <f>'REALIZADO 2025'!E120*'PREVISTO 2026 REVISADO'!$U$86</f>
        <v>2808.11355</v>
      </c>
      <c r="H98" s="3">
        <f>'REALIZADO 2025'!F120*'PREVISTO 2026 REVISADO'!$U$86</f>
        <v>2170.7262499999997</v>
      </c>
      <c r="I98" s="3">
        <f>'REALIZADO 2025'!G120*'PREVISTO 2026 REVISADO'!$U$86</f>
        <v>2910.8370499999996</v>
      </c>
      <c r="J98" s="3">
        <f>'REALIZADO 2025'!H120*'PREVISTO 2026 REVISADO'!$U$86</f>
        <v>2188.1673000000001</v>
      </c>
      <c r="K98" s="3">
        <f>'REALIZADO 2025'!I120*'PREVISTO 2026 REVISADO'!$U$86</f>
        <v>1592.8099</v>
      </c>
      <c r="L98" s="3">
        <f>'REALIZADO 2025'!J120*'PREVISTO 2026 REVISADO'!$U$86</f>
        <v>1730.23785</v>
      </c>
      <c r="M98" s="3">
        <f>'REALIZADO 2025'!K120*'PREVISTO 2026 REVISADO'!$U$86</f>
        <v>1249.6632499999998</v>
      </c>
      <c r="N98" s="3">
        <f>'REALIZADO 2025'!L120*'PREVISTO 2026 REVISADO'!$U$86</f>
        <v>1607.1263999999999</v>
      </c>
      <c r="O98" s="3">
        <f>'REALIZADO 2025'!M120*'PREVISTO 2026 REVISADO'!$U$86</f>
        <v>1652.6674999999998</v>
      </c>
      <c r="P98" s="3">
        <f>'REALIZADO 2025'!N120*'PREVISTO 2026 REVISADO'!$U$86</f>
        <v>2478.6459499999996</v>
      </c>
      <c r="Q98" s="3">
        <f>'REALIZADO 2025'!O120*'PREVISTO 2026 REVISADO'!$U$86</f>
        <v>2191.3022999999998</v>
      </c>
      <c r="R98" s="4">
        <f t="shared" si="16"/>
        <v>24092.621299999995</v>
      </c>
      <c r="S98" s="25">
        <f t="shared" si="9"/>
        <v>2007.7184416666662</v>
      </c>
      <c r="T98" s="5"/>
    </row>
    <row r="99" spans="3:20" ht="12">
      <c r="C99" s="70" t="s">
        <v>113</v>
      </c>
      <c r="D99" s="70"/>
      <c r="E99" s="70"/>
      <c r="F99" s="60" t="e">
        <f>F4</f>
        <v>#REF!</v>
      </c>
      <c r="G99" s="60" t="e">
        <f t="shared" ref="G99:Q99" si="17">G4</f>
        <v>#REF!</v>
      </c>
      <c r="H99" s="60" t="e">
        <f t="shared" si="17"/>
        <v>#REF!</v>
      </c>
      <c r="I99" s="60" t="e">
        <f t="shared" si="17"/>
        <v>#REF!</v>
      </c>
      <c r="J99" s="60" t="e">
        <f t="shared" si="17"/>
        <v>#REF!</v>
      </c>
      <c r="K99" s="60" t="e">
        <f t="shared" si="17"/>
        <v>#REF!</v>
      </c>
      <c r="L99" s="60" t="e">
        <f t="shared" si="17"/>
        <v>#REF!</v>
      </c>
      <c r="M99" s="60" t="e">
        <f t="shared" si="17"/>
        <v>#REF!</v>
      </c>
      <c r="N99" s="60" t="e">
        <f t="shared" si="17"/>
        <v>#REF!</v>
      </c>
      <c r="O99" s="60" t="e">
        <f t="shared" si="17"/>
        <v>#REF!</v>
      </c>
      <c r="P99" s="60" t="e">
        <f t="shared" si="17"/>
        <v>#REF!</v>
      </c>
      <c r="Q99" s="60" t="e">
        <f t="shared" si="17"/>
        <v>#REF!</v>
      </c>
      <c r="R99" s="61">
        <f>R86+R78+R38+R22+R5</f>
        <v>3409357.7379999999</v>
      </c>
      <c r="S99" s="61">
        <f>R99/12</f>
        <v>284113.14483333332</v>
      </c>
      <c r="T99" s="62"/>
    </row>
    <row r="100" spans="3:20" ht="12"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32"/>
    </row>
    <row r="101" spans="3:20" ht="14.4">
      <c r="C101" s="71" t="s">
        <v>114</v>
      </c>
      <c r="D101" s="71"/>
      <c r="E101" s="64">
        <v>270297.34000000003</v>
      </c>
    </row>
    <row r="102" spans="3:20" ht="14.4">
      <c r="C102" s="72" t="s">
        <v>115</v>
      </c>
      <c r="D102" s="72"/>
      <c r="E102" s="65">
        <f>S99</f>
        <v>284113.14483333332</v>
      </c>
      <c r="F102" s="59"/>
    </row>
    <row r="103" spans="3:20" ht="14.4">
      <c r="C103" s="73" t="s">
        <v>116</v>
      </c>
      <c r="D103" s="73"/>
      <c r="E103" s="66">
        <f>E102-E101</f>
        <v>13815.804833333299</v>
      </c>
      <c r="F103" s="59"/>
    </row>
    <row r="104" spans="3:20" ht="14.4">
      <c r="C104" s="68" t="s">
        <v>117</v>
      </c>
      <c r="D104" s="68"/>
      <c r="E104" s="67">
        <f>E103/E101</f>
        <v>5.1113358471575408E-2</v>
      </c>
      <c r="F104" s="59"/>
    </row>
    <row r="105" spans="3:20" ht="12">
      <c r="C105" s="59"/>
      <c r="D105" s="59"/>
      <c r="E105" s="59"/>
    </row>
    <row r="106" spans="3:20" ht="12"/>
    <row r="107" spans="3:20" ht="12"/>
    <row r="108" spans="3:20" ht="12"/>
    <row r="109" spans="3:20" ht="12"/>
    <row r="110" spans="3:20" ht="12"/>
    <row r="111" spans="3:20" ht="12"/>
    <row r="112" spans="3:20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  <row r="126" ht="12"/>
    <row r="127" ht="12"/>
    <row r="128" ht="12"/>
    <row r="129" ht="12"/>
    <row r="130" ht="12"/>
    <row r="131" ht="12"/>
    <row r="132" ht="12"/>
    <row r="133" ht="12"/>
    <row r="134" ht="12"/>
    <row r="135" ht="12"/>
  </sheetData>
  <mergeCells count="103">
    <mergeCell ref="C1:S1"/>
    <mergeCell ref="C2:S2"/>
    <mergeCell ref="C3:E3"/>
    <mergeCell ref="C102:D102"/>
    <mergeCell ref="C101:D101"/>
    <mergeCell ref="C103:D103"/>
    <mergeCell ref="C104:D104"/>
    <mergeCell ref="C4:E4"/>
    <mergeCell ref="C5:E5"/>
    <mergeCell ref="C6:E6"/>
    <mergeCell ref="C7:E7"/>
    <mergeCell ref="C8:E8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9:E39"/>
    <mergeCell ref="C40:E40"/>
    <mergeCell ref="C41:E41"/>
    <mergeCell ref="C42:E42"/>
    <mergeCell ref="C33:E33"/>
    <mergeCell ref="C34:E34"/>
    <mergeCell ref="C35:E35"/>
    <mergeCell ref="C36:E36"/>
    <mergeCell ref="C37:E37"/>
    <mergeCell ref="C38:E38"/>
    <mergeCell ref="C54:E5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66:E66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78:E78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90:E90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9:E99"/>
    <mergeCell ref="C97:E97"/>
    <mergeCell ref="C98:E98"/>
    <mergeCell ref="C91:E91"/>
    <mergeCell ref="C92:E92"/>
    <mergeCell ref="C93:E93"/>
    <mergeCell ref="C94:E94"/>
    <mergeCell ref="C95:E95"/>
    <mergeCell ref="C96:E96"/>
  </mergeCells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81"/>
  <sheetViews>
    <sheetView workbookViewId="0">
      <pane ySplit="1" topLeftCell="A28" activePane="bottomLeft" state="frozen"/>
      <selection pane="bottomLeft" activeCell="N28" sqref="N28"/>
    </sheetView>
  </sheetViews>
  <sheetFormatPr defaultColWidth="9.109375" defaultRowHeight="15" customHeight="1"/>
  <cols>
    <col min="1" max="1" width="8.33203125" style="1" customWidth="1"/>
    <col min="2" max="2" width="13.109375" style="1" customWidth="1"/>
    <col min="3" max="3" width="20.33203125" style="1" customWidth="1"/>
    <col min="4" max="15" width="9.5546875" style="1" customWidth="1"/>
    <col min="16" max="16" width="12.5546875" style="1" customWidth="1"/>
    <col min="17" max="17" width="13.5546875" style="1" customWidth="1"/>
    <col min="18" max="18" width="8.109375" style="1" customWidth="1"/>
    <col min="19" max="19" width="9.109375" style="1"/>
    <col min="20" max="20" width="12.6640625" style="1" customWidth="1"/>
    <col min="21" max="16384" width="9.109375" style="1"/>
  </cols>
  <sheetData>
    <row r="1" spans="1:18" ht="12">
      <c r="A1" s="88" t="s">
        <v>118</v>
      </c>
      <c r="B1" s="88"/>
      <c r="C1" s="88"/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31" t="s">
        <v>15</v>
      </c>
      <c r="Q1" s="31" t="s">
        <v>16</v>
      </c>
      <c r="R1" s="32"/>
    </row>
    <row r="2" spans="1:18" ht="12">
      <c r="A2" s="87" t="s">
        <v>119</v>
      </c>
      <c r="B2" s="87"/>
      <c r="C2" s="87"/>
      <c r="D2" s="33">
        <f>SUM(D3:D24)</f>
        <v>290185.64999999997</v>
      </c>
      <c r="E2" s="33">
        <f t="shared" ref="E2:O2" si="0">SUM(E3:E24)</f>
        <v>308732.3</v>
      </c>
      <c r="F2" s="33">
        <f t="shared" si="0"/>
        <v>313677.08</v>
      </c>
      <c r="G2" s="33">
        <f t="shared" si="0"/>
        <v>309911.83999999997</v>
      </c>
      <c r="H2" s="33">
        <f t="shared" si="0"/>
        <v>316572.55999999994</v>
      </c>
      <c r="I2" s="33">
        <f t="shared" si="0"/>
        <v>290740.15000000002</v>
      </c>
      <c r="J2" s="33">
        <f t="shared" si="0"/>
        <v>318477.93999999983</v>
      </c>
      <c r="K2" s="33">
        <f t="shared" si="0"/>
        <v>363077.67</v>
      </c>
      <c r="L2" s="33">
        <f t="shared" si="0"/>
        <v>360522.41999999993</v>
      </c>
      <c r="M2" s="33">
        <f t="shared" si="0"/>
        <v>361464.26000000007</v>
      </c>
      <c r="N2" s="33">
        <f t="shared" si="0"/>
        <v>321352.36000000004</v>
      </c>
      <c r="O2" s="33">
        <f t="shared" si="0"/>
        <v>341763.37999999995</v>
      </c>
      <c r="P2" s="34">
        <f>SUM(D2:O2)</f>
        <v>3896477.61</v>
      </c>
      <c r="Q2" s="34">
        <f>P2/12</f>
        <v>324706.46749999997</v>
      </c>
      <c r="R2" s="32"/>
    </row>
    <row r="3" spans="1:18" ht="12">
      <c r="A3" s="85" t="s">
        <v>120</v>
      </c>
      <c r="B3" s="85"/>
      <c r="C3" s="85"/>
      <c r="D3" s="35">
        <v>239580.04</v>
      </c>
      <c r="E3" s="35">
        <v>253005.09</v>
      </c>
      <c r="F3" s="35">
        <v>265582.34999999998</v>
      </c>
      <c r="G3" s="35">
        <v>262254.65000000002</v>
      </c>
      <c r="H3" s="35">
        <v>263648.06</v>
      </c>
      <c r="I3" s="35">
        <v>255243.67</v>
      </c>
      <c r="J3" s="36">
        <v>276285.49</v>
      </c>
      <c r="K3" s="35">
        <v>278926.44</v>
      </c>
      <c r="L3" s="35">
        <v>289938.71999999997</v>
      </c>
      <c r="M3" s="35">
        <v>267854.46000000002</v>
      </c>
      <c r="N3" s="35">
        <v>263900.09000000003</v>
      </c>
      <c r="O3" s="36">
        <v>284892.08</v>
      </c>
      <c r="P3" s="37">
        <f>SUM(D3:O3)</f>
        <v>3201111.1399999997</v>
      </c>
      <c r="Q3" s="37">
        <f>P3/12</f>
        <v>266759.26166666666</v>
      </c>
      <c r="R3" s="32"/>
    </row>
    <row r="4" spans="1:18" ht="12">
      <c r="A4" s="86" t="s">
        <v>121</v>
      </c>
      <c r="B4" s="86"/>
      <c r="C4" s="86"/>
      <c r="D4" s="38">
        <v>8221.9500000000007</v>
      </c>
      <c r="E4" s="38">
        <v>12462.57</v>
      </c>
      <c r="F4" s="38">
        <v>8020.57</v>
      </c>
      <c r="G4" s="38">
        <v>9758.01</v>
      </c>
      <c r="H4" s="38">
        <v>14865.92</v>
      </c>
      <c r="I4" s="38">
        <v>131.75</v>
      </c>
      <c r="J4" s="37">
        <v>1440.44</v>
      </c>
      <c r="K4" s="38">
        <v>750.81</v>
      </c>
      <c r="L4" s="38">
        <v>6352.3</v>
      </c>
      <c r="M4" s="38">
        <v>19987.080000000002</v>
      </c>
      <c r="N4" s="38">
        <v>6970.17</v>
      </c>
      <c r="O4" s="37">
        <v>4858.5600000000004</v>
      </c>
      <c r="P4" s="37">
        <f t="shared" ref="P4:P66" si="1">SUM(D4:O4)</f>
        <v>93820.12999999999</v>
      </c>
      <c r="Q4" s="37">
        <f t="shared" ref="Q4:Q66" si="2">P4/12</f>
        <v>7818.3441666666658</v>
      </c>
      <c r="R4" s="32"/>
    </row>
    <row r="5" spans="1:18" ht="12">
      <c r="A5" s="85" t="s">
        <v>122</v>
      </c>
      <c r="B5" s="85"/>
      <c r="C5" s="85"/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6">
        <v>0</v>
      </c>
      <c r="K5" s="35">
        <v>1379.6</v>
      </c>
      <c r="L5" s="35">
        <v>2950.48</v>
      </c>
      <c r="M5" s="35">
        <v>1379.6</v>
      </c>
      <c r="N5" s="35">
        <v>0</v>
      </c>
      <c r="O5" s="36">
        <v>0</v>
      </c>
      <c r="P5" s="37">
        <f t="shared" si="1"/>
        <v>5709.68</v>
      </c>
      <c r="Q5" s="37">
        <f t="shared" si="2"/>
        <v>475.80666666666667</v>
      </c>
      <c r="R5" s="32"/>
    </row>
    <row r="6" spans="1:18" ht="12">
      <c r="A6" s="86" t="s">
        <v>123</v>
      </c>
      <c r="B6" s="86"/>
      <c r="C6" s="86"/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7">
        <v>1458.91</v>
      </c>
      <c r="K6" s="38">
        <v>0</v>
      </c>
      <c r="L6" s="38">
        <v>3358.15</v>
      </c>
      <c r="M6" s="38">
        <v>0</v>
      </c>
      <c r="N6" s="38">
        <v>0</v>
      </c>
      <c r="O6" s="37">
        <v>686.92</v>
      </c>
      <c r="P6" s="37">
        <f t="shared" si="1"/>
        <v>5503.9800000000005</v>
      </c>
      <c r="Q6" s="37">
        <f t="shared" si="2"/>
        <v>458.66500000000002</v>
      </c>
      <c r="R6" s="32"/>
    </row>
    <row r="7" spans="1:18" ht="12">
      <c r="A7" s="85" t="s">
        <v>124</v>
      </c>
      <c r="B7" s="85"/>
      <c r="C7" s="85"/>
      <c r="D7" s="35">
        <v>0</v>
      </c>
      <c r="E7" s="35">
        <v>0</v>
      </c>
      <c r="F7" s="35">
        <v>0</v>
      </c>
      <c r="G7" s="35">
        <v>0</v>
      </c>
      <c r="H7" s="35">
        <v>-10.85</v>
      </c>
      <c r="I7" s="35">
        <v>0</v>
      </c>
      <c r="J7" s="36">
        <v>10.85</v>
      </c>
      <c r="K7" s="35">
        <v>0</v>
      </c>
      <c r="L7" s="35">
        <v>0</v>
      </c>
      <c r="M7" s="35">
        <v>0</v>
      </c>
      <c r="N7" s="35">
        <v>0</v>
      </c>
      <c r="O7" s="36">
        <v>0</v>
      </c>
      <c r="P7" s="37">
        <f t="shared" si="1"/>
        <v>0</v>
      </c>
      <c r="Q7" s="37">
        <f t="shared" si="2"/>
        <v>0</v>
      </c>
      <c r="R7" s="32"/>
    </row>
    <row r="8" spans="1:18" ht="12">
      <c r="A8" s="86" t="s">
        <v>125</v>
      </c>
      <c r="B8" s="86"/>
      <c r="C8" s="86"/>
      <c r="D8" s="38">
        <v>525</v>
      </c>
      <c r="E8" s="38">
        <v>1050</v>
      </c>
      <c r="F8" s="38">
        <v>0</v>
      </c>
      <c r="G8" s="38">
        <v>1050</v>
      </c>
      <c r="H8" s="38">
        <v>1050</v>
      </c>
      <c r="I8" s="38">
        <v>0</v>
      </c>
      <c r="J8" s="37">
        <v>0</v>
      </c>
      <c r="K8" s="38">
        <v>1050</v>
      </c>
      <c r="L8" s="38">
        <v>525</v>
      </c>
      <c r="M8" s="38">
        <v>0</v>
      </c>
      <c r="N8" s="38">
        <v>0</v>
      </c>
      <c r="O8" s="37">
        <v>0</v>
      </c>
      <c r="P8" s="37">
        <f t="shared" si="1"/>
        <v>5250</v>
      </c>
      <c r="Q8" s="37">
        <f t="shared" si="2"/>
        <v>437.5</v>
      </c>
      <c r="R8" s="32"/>
    </row>
    <row r="9" spans="1:18" ht="12">
      <c r="A9" s="85" t="s">
        <v>126</v>
      </c>
      <c r="B9" s="85"/>
      <c r="C9" s="85"/>
      <c r="D9" s="35">
        <v>1260</v>
      </c>
      <c r="E9" s="35">
        <v>1260</v>
      </c>
      <c r="F9" s="35">
        <v>3150</v>
      </c>
      <c r="G9" s="35">
        <v>1680</v>
      </c>
      <c r="H9" s="35">
        <v>1470</v>
      </c>
      <c r="I9" s="35">
        <v>1680</v>
      </c>
      <c r="J9" s="36">
        <v>420</v>
      </c>
      <c r="K9" s="35">
        <v>1680</v>
      </c>
      <c r="L9" s="35">
        <v>1218</v>
      </c>
      <c r="M9" s="35">
        <v>1890</v>
      </c>
      <c r="N9" s="35">
        <v>1470</v>
      </c>
      <c r="O9" s="36">
        <v>882</v>
      </c>
      <c r="P9" s="37">
        <f t="shared" si="1"/>
        <v>18060</v>
      </c>
      <c r="Q9" s="37">
        <f t="shared" si="2"/>
        <v>1505</v>
      </c>
      <c r="R9" s="32"/>
    </row>
    <row r="10" spans="1:18" ht="12">
      <c r="A10" s="86" t="s">
        <v>127</v>
      </c>
      <c r="B10" s="86"/>
      <c r="C10" s="86"/>
      <c r="D10" s="38">
        <v>1706.95</v>
      </c>
      <c r="E10" s="38">
        <v>2126.9499999999998</v>
      </c>
      <c r="F10" s="38">
        <v>0</v>
      </c>
      <c r="G10" s="38">
        <v>1916.95</v>
      </c>
      <c r="H10" s="38">
        <v>1496.95</v>
      </c>
      <c r="I10" s="38">
        <v>1050</v>
      </c>
      <c r="J10" s="37">
        <v>1890</v>
      </c>
      <c r="K10" s="38">
        <v>1050</v>
      </c>
      <c r="L10" s="38">
        <v>1680</v>
      </c>
      <c r="M10" s="38">
        <v>2520</v>
      </c>
      <c r="N10" s="38">
        <v>1470</v>
      </c>
      <c r="O10" s="37">
        <v>1470</v>
      </c>
      <c r="P10" s="37">
        <f t="shared" si="1"/>
        <v>18377.8</v>
      </c>
      <c r="Q10" s="37">
        <f t="shared" si="2"/>
        <v>1531.4833333333333</v>
      </c>
      <c r="R10" s="32"/>
    </row>
    <row r="11" spans="1:18" ht="12">
      <c r="A11" s="85" t="s">
        <v>128</v>
      </c>
      <c r="B11" s="85"/>
      <c r="C11" s="85"/>
      <c r="D11" s="35">
        <v>23926.35</v>
      </c>
      <c r="E11" s="35">
        <v>25269.43</v>
      </c>
      <c r="F11" s="35">
        <v>26519.07</v>
      </c>
      <c r="G11" s="35">
        <v>26186.3</v>
      </c>
      <c r="H11" s="35">
        <v>26325.65</v>
      </c>
      <c r="I11" s="35">
        <v>25485.200000000001</v>
      </c>
      <c r="J11" s="36">
        <v>27589.360000000001</v>
      </c>
      <c r="K11" s="35">
        <v>27853.49</v>
      </c>
      <c r="L11" s="35">
        <v>28954.69</v>
      </c>
      <c r="M11" s="35">
        <v>26746.27</v>
      </c>
      <c r="N11" s="35">
        <v>26277.64</v>
      </c>
      <c r="O11" s="36">
        <v>28063.87</v>
      </c>
      <c r="P11" s="37">
        <f t="shared" si="1"/>
        <v>319197.32000000007</v>
      </c>
      <c r="Q11" s="37">
        <f t="shared" si="2"/>
        <v>26599.776666666672</v>
      </c>
      <c r="R11" s="32"/>
    </row>
    <row r="12" spans="1:18" ht="12">
      <c r="A12" s="86" t="s">
        <v>129</v>
      </c>
      <c r="B12" s="86"/>
      <c r="C12" s="86"/>
      <c r="D12" s="38">
        <v>150</v>
      </c>
      <c r="E12" s="38">
        <v>250</v>
      </c>
      <c r="F12" s="38">
        <v>150</v>
      </c>
      <c r="G12" s="38">
        <v>450</v>
      </c>
      <c r="H12" s="38">
        <v>200</v>
      </c>
      <c r="I12" s="38">
        <v>250</v>
      </c>
      <c r="J12" s="37">
        <v>200</v>
      </c>
      <c r="K12" s="38">
        <v>100</v>
      </c>
      <c r="L12" s="38">
        <v>100</v>
      </c>
      <c r="M12" s="38">
        <v>300</v>
      </c>
      <c r="N12" s="38">
        <v>150</v>
      </c>
      <c r="O12" s="37">
        <v>0</v>
      </c>
      <c r="P12" s="37">
        <f t="shared" si="1"/>
        <v>2300</v>
      </c>
      <c r="Q12" s="37">
        <f t="shared" si="2"/>
        <v>191.66666666666666</v>
      </c>
      <c r="R12" s="32"/>
    </row>
    <row r="13" spans="1:18" ht="12">
      <c r="A13" s="85" t="s">
        <v>130</v>
      </c>
      <c r="B13" s="85"/>
      <c r="C13" s="85"/>
      <c r="D13" s="35">
        <v>0</v>
      </c>
      <c r="E13" s="35">
        <v>0</v>
      </c>
      <c r="F13" s="35">
        <v>1800</v>
      </c>
      <c r="G13" s="35">
        <v>0</v>
      </c>
      <c r="H13" s="35">
        <v>800</v>
      </c>
      <c r="I13" s="35">
        <v>1700</v>
      </c>
      <c r="J13" s="36">
        <v>1900</v>
      </c>
      <c r="K13" s="35">
        <v>1800</v>
      </c>
      <c r="L13" s="35">
        <v>1400</v>
      </c>
      <c r="M13" s="35">
        <v>1400</v>
      </c>
      <c r="N13" s="35">
        <v>1200</v>
      </c>
      <c r="O13" s="36">
        <v>1200</v>
      </c>
      <c r="P13" s="37">
        <f t="shared" si="1"/>
        <v>13200</v>
      </c>
      <c r="Q13" s="37">
        <f t="shared" si="2"/>
        <v>1100</v>
      </c>
      <c r="R13" s="32"/>
    </row>
    <row r="14" spans="1:18" ht="12">
      <c r="A14" s="86" t="s">
        <v>131</v>
      </c>
      <c r="B14" s="86"/>
      <c r="C14" s="86"/>
      <c r="D14" s="38">
        <v>317.67</v>
      </c>
      <c r="E14" s="38">
        <v>447.46</v>
      </c>
      <c r="F14" s="38">
        <v>419.33</v>
      </c>
      <c r="G14" s="38">
        <v>489.74</v>
      </c>
      <c r="H14" s="38">
        <v>439.72</v>
      </c>
      <c r="I14" s="38">
        <v>21.99</v>
      </c>
      <c r="J14" s="37">
        <v>111.24</v>
      </c>
      <c r="K14" s="38">
        <v>631.29</v>
      </c>
      <c r="L14" s="38">
        <v>196.05</v>
      </c>
      <c r="M14" s="38">
        <v>326.5</v>
      </c>
      <c r="N14" s="38">
        <v>57.39</v>
      </c>
      <c r="O14" s="37">
        <v>0</v>
      </c>
      <c r="P14" s="37">
        <f t="shared" si="1"/>
        <v>3458.3799999999997</v>
      </c>
      <c r="Q14" s="37">
        <f t="shared" si="2"/>
        <v>288.19833333333332</v>
      </c>
      <c r="R14" s="32"/>
    </row>
    <row r="15" spans="1:18" ht="12">
      <c r="A15" s="85" t="s">
        <v>132</v>
      </c>
      <c r="B15" s="85"/>
      <c r="C15" s="85"/>
      <c r="D15" s="35">
        <v>1730</v>
      </c>
      <c r="E15" s="35">
        <v>2350</v>
      </c>
      <c r="F15" s="35">
        <v>2300</v>
      </c>
      <c r="G15" s="35">
        <v>2400</v>
      </c>
      <c r="H15" s="35">
        <v>2300</v>
      </c>
      <c r="I15" s="35">
        <v>2250</v>
      </c>
      <c r="J15" s="36">
        <v>2350</v>
      </c>
      <c r="K15" s="35">
        <v>2400</v>
      </c>
      <c r="L15" s="35">
        <v>2925</v>
      </c>
      <c r="M15" s="35">
        <v>2400</v>
      </c>
      <c r="N15" s="35">
        <v>2312.5700000000002</v>
      </c>
      <c r="O15" s="36">
        <v>1603.44</v>
      </c>
      <c r="P15" s="37">
        <f t="shared" si="1"/>
        <v>27321.01</v>
      </c>
      <c r="Q15" s="37">
        <f t="shared" si="2"/>
        <v>2276.750833333333</v>
      </c>
      <c r="R15" s="32"/>
    </row>
    <row r="16" spans="1:18" ht="12">
      <c r="A16" s="86" t="s">
        <v>133</v>
      </c>
      <c r="B16" s="86"/>
      <c r="C16" s="86"/>
      <c r="D16" s="38">
        <v>8050.48</v>
      </c>
      <c r="E16" s="38">
        <v>400.48</v>
      </c>
      <c r="F16" s="38">
        <v>650</v>
      </c>
      <c r="G16" s="38">
        <v>61.73</v>
      </c>
      <c r="H16" s="38">
        <v>760.48</v>
      </c>
      <c r="I16" s="38">
        <v>0</v>
      </c>
      <c r="J16" s="37">
        <v>0</v>
      </c>
      <c r="K16" s="38">
        <v>320</v>
      </c>
      <c r="L16" s="38">
        <v>115.13</v>
      </c>
      <c r="M16" s="38">
        <v>400</v>
      </c>
      <c r="N16" s="38">
        <v>0</v>
      </c>
      <c r="O16" s="37">
        <v>12.95</v>
      </c>
      <c r="P16" s="37">
        <f t="shared" si="1"/>
        <v>10771.249999999998</v>
      </c>
      <c r="Q16" s="37">
        <f t="shared" si="2"/>
        <v>897.60416666666652</v>
      </c>
      <c r="R16" s="32"/>
    </row>
    <row r="17" spans="1:18" ht="12">
      <c r="A17" s="85" t="s">
        <v>134</v>
      </c>
      <c r="B17" s="85"/>
      <c r="C17" s="85"/>
      <c r="D17" s="35">
        <v>50.02</v>
      </c>
      <c r="E17" s="35">
        <v>50.02</v>
      </c>
      <c r="F17" s="35">
        <v>0</v>
      </c>
      <c r="G17" s="35">
        <v>50.02</v>
      </c>
      <c r="H17" s="35">
        <v>50.02</v>
      </c>
      <c r="I17" s="35">
        <v>0</v>
      </c>
      <c r="J17" s="36">
        <v>0</v>
      </c>
      <c r="K17" s="35">
        <v>0</v>
      </c>
      <c r="L17" s="35">
        <v>696.5</v>
      </c>
      <c r="M17" s="35">
        <v>0</v>
      </c>
      <c r="N17" s="35">
        <v>0</v>
      </c>
      <c r="O17" s="36">
        <v>0</v>
      </c>
      <c r="P17" s="37">
        <f t="shared" si="1"/>
        <v>896.58</v>
      </c>
      <c r="Q17" s="37">
        <f t="shared" si="2"/>
        <v>74.715000000000003</v>
      </c>
      <c r="R17" s="32"/>
    </row>
    <row r="18" spans="1:18" ht="12">
      <c r="A18" s="86" t="s">
        <v>135</v>
      </c>
      <c r="B18" s="86"/>
      <c r="C18" s="86"/>
      <c r="D18" s="38">
        <v>500</v>
      </c>
      <c r="E18" s="38">
        <v>6500</v>
      </c>
      <c r="F18" s="38">
        <v>400</v>
      </c>
      <c r="G18" s="38">
        <v>0</v>
      </c>
      <c r="H18" s="38">
        <v>0</v>
      </c>
      <c r="I18" s="38">
        <v>0</v>
      </c>
      <c r="J18" s="37">
        <v>0</v>
      </c>
      <c r="K18" s="38">
        <v>0</v>
      </c>
      <c r="L18" s="38">
        <v>140</v>
      </c>
      <c r="M18" s="38">
        <v>4980</v>
      </c>
      <c r="N18" s="38">
        <v>0</v>
      </c>
      <c r="O18" s="37">
        <v>0</v>
      </c>
      <c r="P18" s="37">
        <f t="shared" si="1"/>
        <v>12520</v>
      </c>
      <c r="Q18" s="37">
        <f t="shared" si="2"/>
        <v>1043.3333333333333</v>
      </c>
      <c r="R18" s="32"/>
    </row>
    <row r="19" spans="1:18" ht="12">
      <c r="A19" s="85" t="s">
        <v>136</v>
      </c>
      <c r="B19" s="85"/>
      <c r="C19" s="85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6">
        <v>0</v>
      </c>
      <c r="K19" s="35">
        <v>41928</v>
      </c>
      <c r="L19" s="35">
        <v>13976</v>
      </c>
      <c r="M19" s="35">
        <v>27952</v>
      </c>
      <c r="N19" s="35">
        <v>13976</v>
      </c>
      <c r="O19" s="36">
        <v>13976</v>
      </c>
      <c r="P19" s="37">
        <f t="shared" si="1"/>
        <v>111808</v>
      </c>
      <c r="Q19" s="37">
        <f t="shared" si="2"/>
        <v>9317.3333333333339</v>
      </c>
      <c r="R19" s="32"/>
    </row>
    <row r="20" spans="1:18" ht="12">
      <c r="A20" s="86" t="s">
        <v>137</v>
      </c>
      <c r="B20" s="86"/>
      <c r="C20" s="86"/>
      <c r="D20" s="38">
        <v>2450.54</v>
      </c>
      <c r="E20" s="38">
        <v>1939.1</v>
      </c>
      <c r="F20" s="38">
        <v>2376.0500000000002</v>
      </c>
      <c r="G20" s="38">
        <v>2255.5100000000002</v>
      </c>
      <c r="H20" s="38">
        <v>2331.42</v>
      </c>
      <c r="I20" s="38">
        <v>2238.2600000000002</v>
      </c>
      <c r="J20" s="37">
        <v>2443.35</v>
      </c>
      <c r="K20" s="38">
        <v>2454.64</v>
      </c>
      <c r="L20" s="38">
        <v>2262.38</v>
      </c>
      <c r="M20" s="38">
        <v>2286.65</v>
      </c>
      <c r="N20" s="38">
        <v>2238.17</v>
      </c>
      <c r="O20" s="37">
        <v>1422.98</v>
      </c>
      <c r="P20" s="37">
        <f t="shared" si="1"/>
        <v>26699.050000000007</v>
      </c>
      <c r="Q20" s="37">
        <f t="shared" si="2"/>
        <v>2224.920833333334</v>
      </c>
      <c r="R20" s="32"/>
    </row>
    <row r="21" spans="1:18" ht="12">
      <c r="A21" s="85" t="s">
        <v>138</v>
      </c>
      <c r="B21" s="85"/>
      <c r="C21" s="85"/>
      <c r="D21" s="35">
        <v>754.13</v>
      </c>
      <c r="E21" s="35">
        <v>766.97</v>
      </c>
      <c r="F21" s="35">
        <v>1009.23</v>
      </c>
      <c r="G21" s="35">
        <v>427.17</v>
      </c>
      <c r="H21" s="35">
        <v>316.22000000000003</v>
      </c>
      <c r="I21" s="35">
        <v>129.4</v>
      </c>
      <c r="J21" s="36">
        <v>911.73</v>
      </c>
      <c r="K21" s="35">
        <v>201.66</v>
      </c>
      <c r="L21" s="35">
        <v>2027.81</v>
      </c>
      <c r="M21" s="35">
        <v>353.26</v>
      </c>
      <c r="N21" s="35">
        <v>260.10000000000002</v>
      </c>
      <c r="O21" s="36">
        <v>827.54</v>
      </c>
      <c r="P21" s="37">
        <f t="shared" si="1"/>
        <v>7985.22</v>
      </c>
      <c r="Q21" s="37">
        <f t="shared" si="2"/>
        <v>665.43500000000006</v>
      </c>
      <c r="R21" s="32"/>
    </row>
    <row r="22" spans="1:18" ht="12">
      <c r="A22" s="86" t="s">
        <v>139</v>
      </c>
      <c r="B22" s="86"/>
      <c r="C22" s="86"/>
      <c r="D22" s="38">
        <v>797.85</v>
      </c>
      <c r="E22" s="38">
        <v>643.14</v>
      </c>
      <c r="F22" s="38">
        <v>1047.27</v>
      </c>
      <c r="G22" s="38">
        <v>866.85</v>
      </c>
      <c r="H22" s="38">
        <v>453.43</v>
      </c>
      <c r="I22" s="38">
        <v>559.88</v>
      </c>
      <c r="J22" s="37">
        <v>1169.1600000000001</v>
      </c>
      <c r="K22" s="38">
        <v>527.78</v>
      </c>
      <c r="L22" s="38">
        <v>1017.79</v>
      </c>
      <c r="M22" s="38">
        <v>638.39</v>
      </c>
      <c r="N22" s="38">
        <v>708.7</v>
      </c>
      <c r="O22" s="37">
        <v>980.67</v>
      </c>
      <c r="P22" s="37">
        <f t="shared" si="1"/>
        <v>9410.91</v>
      </c>
      <c r="Q22" s="37">
        <f t="shared" si="2"/>
        <v>784.24249999999995</v>
      </c>
      <c r="R22" s="32"/>
    </row>
    <row r="23" spans="1:18" ht="12">
      <c r="A23" s="85" t="s">
        <v>140</v>
      </c>
      <c r="B23" s="85"/>
      <c r="C23" s="85"/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6">
        <v>0</v>
      </c>
      <c r="K23" s="35">
        <v>0</v>
      </c>
      <c r="L23" s="35">
        <v>0</v>
      </c>
      <c r="M23" s="35">
        <v>0</v>
      </c>
      <c r="N23" s="35">
        <v>361.53</v>
      </c>
      <c r="O23" s="36">
        <v>836.43</v>
      </c>
      <c r="P23" s="37">
        <f t="shared" si="1"/>
        <v>1197.96</v>
      </c>
      <c r="Q23" s="37">
        <f t="shared" si="2"/>
        <v>99.83</v>
      </c>
      <c r="R23" s="32"/>
    </row>
    <row r="24" spans="1:18" ht="12">
      <c r="A24" s="86" t="s">
        <v>141</v>
      </c>
      <c r="B24" s="86"/>
      <c r="C24" s="86"/>
      <c r="D24" s="38">
        <v>164.67</v>
      </c>
      <c r="E24" s="38">
        <v>211.09</v>
      </c>
      <c r="F24" s="38">
        <v>253.21</v>
      </c>
      <c r="G24" s="38">
        <v>64.91</v>
      </c>
      <c r="H24" s="38">
        <v>75.540000000000006</v>
      </c>
      <c r="I24" s="38">
        <v>0</v>
      </c>
      <c r="J24" s="37">
        <v>297.41000000000003</v>
      </c>
      <c r="K24" s="38">
        <v>23.96</v>
      </c>
      <c r="L24" s="38">
        <v>688.42</v>
      </c>
      <c r="M24" s="38">
        <v>50.05</v>
      </c>
      <c r="N24" s="38">
        <v>0</v>
      </c>
      <c r="O24" s="37">
        <v>49.94</v>
      </c>
      <c r="P24" s="37">
        <f t="shared" si="1"/>
        <v>1879.2</v>
      </c>
      <c r="Q24" s="37">
        <f t="shared" si="2"/>
        <v>156.6</v>
      </c>
      <c r="R24" s="32"/>
    </row>
    <row r="25" spans="1:18" ht="12">
      <c r="A25" s="90" t="s">
        <v>142</v>
      </c>
      <c r="B25" s="90"/>
      <c r="C25" s="90"/>
      <c r="D25" s="39">
        <f>D2</f>
        <v>290185.64999999997</v>
      </c>
      <c r="E25" s="39">
        <f t="shared" ref="E25:O25" si="3">E2</f>
        <v>308732.3</v>
      </c>
      <c r="F25" s="39">
        <f t="shared" si="3"/>
        <v>313677.08</v>
      </c>
      <c r="G25" s="39">
        <f t="shared" si="3"/>
        <v>309911.83999999997</v>
      </c>
      <c r="H25" s="39">
        <f t="shared" si="3"/>
        <v>316572.55999999994</v>
      </c>
      <c r="I25" s="39">
        <f t="shared" si="3"/>
        <v>290740.15000000002</v>
      </c>
      <c r="J25" s="39">
        <f t="shared" si="3"/>
        <v>318477.93999999983</v>
      </c>
      <c r="K25" s="39">
        <f t="shared" si="3"/>
        <v>363077.67</v>
      </c>
      <c r="L25" s="39">
        <f t="shared" si="3"/>
        <v>360522.41999999993</v>
      </c>
      <c r="M25" s="39">
        <f t="shared" si="3"/>
        <v>361464.26000000007</v>
      </c>
      <c r="N25" s="39">
        <f t="shared" si="3"/>
        <v>321352.36000000004</v>
      </c>
      <c r="O25" s="39">
        <f t="shared" si="3"/>
        <v>341763.37999999995</v>
      </c>
      <c r="P25" s="39">
        <f t="shared" si="1"/>
        <v>3896477.61</v>
      </c>
      <c r="Q25" s="39">
        <f t="shared" si="2"/>
        <v>324706.46749999997</v>
      </c>
      <c r="R25" s="32"/>
    </row>
    <row r="26" spans="1:18" ht="12">
      <c r="A26" s="87" t="s">
        <v>17</v>
      </c>
      <c r="B26" s="87"/>
      <c r="C26" s="87"/>
      <c r="D26" s="40">
        <f>D27+D46+D63+D98+D108+D121</f>
        <v>308825.78999999998</v>
      </c>
      <c r="E26" s="40">
        <f>E27+E46+E63+E98+E108+E121</f>
        <v>256130.14</v>
      </c>
      <c r="F26" s="40">
        <f t="shared" ref="F26:O26" si="4">F27+F46+F63+F98+F108+F121</f>
        <v>318039.96000000002</v>
      </c>
      <c r="G26" s="40">
        <f t="shared" si="4"/>
        <v>281471.10000000003</v>
      </c>
      <c r="H26" s="40">
        <f t="shared" si="4"/>
        <v>308302.80000000005</v>
      </c>
      <c r="I26" s="40">
        <f t="shared" si="4"/>
        <v>334819.06000000006</v>
      </c>
      <c r="J26" s="40">
        <f t="shared" si="4"/>
        <v>504020.49000000005</v>
      </c>
      <c r="K26" s="40">
        <f t="shared" si="4"/>
        <v>338176.55</v>
      </c>
      <c r="L26" s="40">
        <f t="shared" si="4"/>
        <v>366076.67000000004</v>
      </c>
      <c r="M26" s="40">
        <f t="shared" si="4"/>
        <v>469543.74</v>
      </c>
      <c r="N26" s="40">
        <f t="shared" si="4"/>
        <v>395945.45000000007</v>
      </c>
      <c r="O26" s="40">
        <f t="shared" si="4"/>
        <v>310388.34999999998</v>
      </c>
      <c r="P26" s="40">
        <f t="shared" si="1"/>
        <v>4191740.1</v>
      </c>
      <c r="Q26" s="40">
        <f t="shared" si="2"/>
        <v>349311.67499999999</v>
      </c>
      <c r="R26" s="32"/>
    </row>
    <row r="27" spans="1:18" ht="12">
      <c r="A27" s="89" t="s">
        <v>19</v>
      </c>
      <c r="B27" s="89"/>
      <c r="C27" s="89"/>
      <c r="D27" s="41">
        <f>SUM(D28:D45)</f>
        <v>8428.5899999999983</v>
      </c>
      <c r="E27" s="41">
        <f t="shared" ref="E27:O27" si="5">SUM(E28:E45)</f>
        <v>7532.59</v>
      </c>
      <c r="F27" s="41">
        <f t="shared" si="5"/>
        <v>79958.240000000005</v>
      </c>
      <c r="G27" s="41">
        <f t="shared" si="5"/>
        <v>12361.98</v>
      </c>
      <c r="H27" s="41">
        <f t="shared" si="5"/>
        <v>9069.81</v>
      </c>
      <c r="I27" s="41">
        <f t="shared" si="5"/>
        <v>10392.019999999999</v>
      </c>
      <c r="J27" s="41">
        <f t="shared" si="5"/>
        <v>43773.35</v>
      </c>
      <c r="K27" s="41">
        <f t="shared" si="5"/>
        <v>9965.99</v>
      </c>
      <c r="L27" s="41">
        <f t="shared" si="5"/>
        <v>13205.920000000002</v>
      </c>
      <c r="M27" s="41">
        <f t="shared" si="5"/>
        <v>10482.700000000001</v>
      </c>
      <c r="N27" s="41">
        <f t="shared" si="5"/>
        <v>10085.790000000001</v>
      </c>
      <c r="O27" s="41">
        <f t="shared" si="5"/>
        <v>8987.82</v>
      </c>
      <c r="P27" s="37">
        <f t="shared" si="1"/>
        <v>224244.80000000002</v>
      </c>
      <c r="Q27" s="37">
        <f t="shared" si="2"/>
        <v>18687.066666666669</v>
      </c>
      <c r="R27" s="32"/>
    </row>
    <row r="28" spans="1:18" ht="12">
      <c r="A28" s="86" t="s">
        <v>20</v>
      </c>
      <c r="B28" s="86"/>
      <c r="C28" s="86"/>
      <c r="D28" s="38">
        <v>553.58000000000004</v>
      </c>
      <c r="E28" s="38">
        <v>338.96</v>
      </c>
      <c r="F28" s="38">
        <v>78.989999999999995</v>
      </c>
      <c r="G28" s="38">
        <v>59.39</v>
      </c>
      <c r="H28" s="38">
        <v>97.22</v>
      </c>
      <c r="I28" s="38">
        <v>37.9</v>
      </c>
      <c r="J28" s="37">
        <v>32953.019999999997</v>
      </c>
      <c r="K28" s="38">
        <v>31.9</v>
      </c>
      <c r="L28" s="38">
        <v>31.9</v>
      </c>
      <c r="M28" s="38">
        <v>32.9</v>
      </c>
      <c r="N28" s="38">
        <v>29.9</v>
      </c>
      <c r="O28" s="37">
        <v>30.16</v>
      </c>
      <c r="P28" s="37">
        <f t="shared" si="1"/>
        <v>34275.820000000007</v>
      </c>
      <c r="Q28" s="37">
        <f t="shared" si="2"/>
        <v>2856.3183333333341</v>
      </c>
      <c r="R28" s="32"/>
    </row>
    <row r="29" spans="1:18" ht="12">
      <c r="A29" s="85" t="s">
        <v>21</v>
      </c>
      <c r="B29" s="85"/>
      <c r="C29" s="85"/>
      <c r="D29" s="35">
        <v>0</v>
      </c>
      <c r="E29" s="35">
        <v>0</v>
      </c>
      <c r="F29" s="35">
        <v>187.89</v>
      </c>
      <c r="G29" s="35">
        <v>0</v>
      </c>
      <c r="H29" s="35">
        <v>0</v>
      </c>
      <c r="I29" s="35">
        <v>0</v>
      </c>
      <c r="J29" s="36">
        <v>398</v>
      </c>
      <c r="K29" s="35">
        <v>168.94</v>
      </c>
      <c r="L29" s="35">
        <v>0</v>
      </c>
      <c r="M29" s="35">
        <v>0</v>
      </c>
      <c r="N29" s="35">
        <v>406.4</v>
      </c>
      <c r="O29" s="36">
        <v>0</v>
      </c>
      <c r="P29" s="37">
        <f t="shared" si="1"/>
        <v>1161.23</v>
      </c>
      <c r="Q29" s="37">
        <f t="shared" si="2"/>
        <v>96.769166666666663</v>
      </c>
      <c r="R29" s="32"/>
    </row>
    <row r="30" spans="1:18" ht="12">
      <c r="A30" s="86" t="s">
        <v>22</v>
      </c>
      <c r="B30" s="86"/>
      <c r="C30" s="86"/>
      <c r="D30" s="38">
        <v>0</v>
      </c>
      <c r="E30" s="38">
        <v>0</v>
      </c>
      <c r="F30" s="38">
        <v>0</v>
      </c>
      <c r="G30" s="38">
        <v>0</v>
      </c>
      <c r="H30" s="38">
        <v>179.57</v>
      </c>
      <c r="I30" s="38">
        <v>0</v>
      </c>
      <c r="J30" s="37">
        <v>0</v>
      </c>
      <c r="K30" s="38">
        <v>0</v>
      </c>
      <c r="L30" s="38">
        <v>0</v>
      </c>
      <c r="M30" s="38">
        <v>200</v>
      </c>
      <c r="N30" s="38">
        <v>0</v>
      </c>
      <c r="O30" s="37">
        <v>0</v>
      </c>
      <c r="P30" s="37">
        <f t="shared" si="1"/>
        <v>379.57</v>
      </c>
      <c r="Q30" s="37">
        <f t="shared" si="2"/>
        <v>31.630833333333332</v>
      </c>
      <c r="R30" s="32"/>
    </row>
    <row r="31" spans="1:18" ht="12">
      <c r="A31" s="85" t="s">
        <v>23</v>
      </c>
      <c r="B31" s="85"/>
      <c r="C31" s="85"/>
      <c r="D31" s="35">
        <v>0</v>
      </c>
      <c r="E31" s="35">
        <v>0</v>
      </c>
      <c r="F31" s="35">
        <v>0</v>
      </c>
      <c r="G31" s="35">
        <v>2500</v>
      </c>
      <c r="H31" s="35">
        <v>0</v>
      </c>
      <c r="I31" s="35">
        <v>0</v>
      </c>
      <c r="J31" s="36">
        <v>0</v>
      </c>
      <c r="K31" s="35">
        <v>0</v>
      </c>
      <c r="L31" s="35">
        <v>0</v>
      </c>
      <c r="M31" s="35">
        <v>0</v>
      </c>
      <c r="N31" s="35">
        <v>0</v>
      </c>
      <c r="O31" s="36">
        <v>0</v>
      </c>
      <c r="P31" s="37">
        <f t="shared" si="1"/>
        <v>2500</v>
      </c>
      <c r="Q31" s="37">
        <f t="shared" si="2"/>
        <v>208.33333333333334</v>
      </c>
      <c r="R31" s="32"/>
    </row>
    <row r="32" spans="1:18" ht="12">
      <c r="A32" s="86" t="s">
        <v>143</v>
      </c>
      <c r="B32" s="86"/>
      <c r="C32" s="86"/>
      <c r="D32" s="38">
        <v>0</v>
      </c>
      <c r="E32" s="38">
        <v>0</v>
      </c>
      <c r="F32" s="38">
        <v>0</v>
      </c>
      <c r="G32" s="38">
        <v>1408.64</v>
      </c>
      <c r="H32" s="38">
        <v>0</v>
      </c>
      <c r="I32" s="38">
        <v>0</v>
      </c>
      <c r="J32" s="37">
        <v>0</v>
      </c>
      <c r="K32" s="38">
        <v>0</v>
      </c>
      <c r="L32" s="38">
        <v>0</v>
      </c>
      <c r="M32" s="38">
        <v>0</v>
      </c>
      <c r="N32" s="38">
        <v>0</v>
      </c>
      <c r="O32" s="37">
        <v>0</v>
      </c>
      <c r="P32" s="37">
        <f t="shared" si="1"/>
        <v>1408.64</v>
      </c>
      <c r="Q32" s="37">
        <f t="shared" si="2"/>
        <v>117.38666666666667</v>
      </c>
      <c r="R32" s="32"/>
    </row>
    <row r="33" spans="1:18" ht="12">
      <c r="A33" s="85" t="s">
        <v>144</v>
      </c>
      <c r="B33" s="85"/>
      <c r="C33" s="85"/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6">
        <v>0</v>
      </c>
      <c r="K33" s="35">
        <v>0</v>
      </c>
      <c r="L33" s="35">
        <v>0</v>
      </c>
      <c r="M33" s="35">
        <v>0</v>
      </c>
      <c r="N33" s="35">
        <v>1.65</v>
      </c>
      <c r="O33" s="36">
        <v>0</v>
      </c>
      <c r="P33" s="37">
        <f t="shared" si="1"/>
        <v>1.65</v>
      </c>
      <c r="Q33" s="37">
        <f t="shared" si="2"/>
        <v>0.13749999999999998</v>
      </c>
      <c r="R33" s="32"/>
    </row>
    <row r="34" spans="1:18" ht="12">
      <c r="A34" s="86" t="s">
        <v>24</v>
      </c>
      <c r="B34" s="86"/>
      <c r="C34" s="86"/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594.72</v>
      </c>
      <c r="J34" s="37">
        <v>0</v>
      </c>
      <c r="K34" s="38">
        <v>0</v>
      </c>
      <c r="L34" s="38">
        <v>0</v>
      </c>
      <c r="M34" s="38">
        <v>0</v>
      </c>
      <c r="N34" s="38">
        <v>0</v>
      </c>
      <c r="O34" s="37">
        <v>0</v>
      </c>
      <c r="P34" s="37">
        <f t="shared" si="1"/>
        <v>594.72</v>
      </c>
      <c r="Q34" s="37">
        <f t="shared" si="2"/>
        <v>49.56</v>
      </c>
      <c r="R34" s="32"/>
    </row>
    <row r="35" spans="1:18" ht="12">
      <c r="A35" s="85" t="s">
        <v>25</v>
      </c>
      <c r="B35" s="85"/>
      <c r="C35" s="85"/>
      <c r="D35" s="35">
        <v>356.15</v>
      </c>
      <c r="E35" s="35">
        <v>350</v>
      </c>
      <c r="F35" s="35">
        <v>896.7</v>
      </c>
      <c r="G35" s="35">
        <v>488.45</v>
      </c>
      <c r="H35" s="35">
        <v>306.95</v>
      </c>
      <c r="I35" s="35">
        <v>386</v>
      </c>
      <c r="J35" s="36">
        <v>1086.8</v>
      </c>
      <c r="K35" s="35">
        <v>388.95</v>
      </c>
      <c r="L35" s="35">
        <v>939.25</v>
      </c>
      <c r="M35" s="35">
        <v>880.2</v>
      </c>
      <c r="N35" s="35">
        <v>534.1</v>
      </c>
      <c r="O35" s="36">
        <v>314.60000000000002</v>
      </c>
      <c r="P35" s="37">
        <f t="shared" si="1"/>
        <v>6928.15</v>
      </c>
      <c r="Q35" s="37">
        <f t="shared" si="2"/>
        <v>577.3458333333333</v>
      </c>
      <c r="R35" s="32"/>
    </row>
    <row r="36" spans="1:18" ht="12">
      <c r="A36" s="86" t="s">
        <v>26</v>
      </c>
      <c r="B36" s="86"/>
      <c r="C36" s="86"/>
      <c r="D36" s="38">
        <v>500</v>
      </c>
      <c r="E36" s="38">
        <v>0</v>
      </c>
      <c r="F36" s="38">
        <v>500</v>
      </c>
      <c r="G36" s="38">
        <v>500</v>
      </c>
      <c r="H36" s="38">
        <v>500</v>
      </c>
      <c r="I36" s="38">
        <v>500</v>
      </c>
      <c r="J36" s="37">
        <v>0</v>
      </c>
      <c r="K36" s="38">
        <v>500</v>
      </c>
      <c r="L36" s="38">
        <v>500</v>
      </c>
      <c r="M36" s="38">
        <v>500</v>
      </c>
      <c r="N36" s="38">
        <v>500</v>
      </c>
      <c r="O36" s="37">
        <v>0</v>
      </c>
      <c r="P36" s="37">
        <f t="shared" si="1"/>
        <v>4500</v>
      </c>
      <c r="Q36" s="37">
        <f t="shared" si="2"/>
        <v>375</v>
      </c>
      <c r="R36" s="32"/>
    </row>
    <row r="37" spans="1:18" ht="12">
      <c r="A37" s="85" t="s">
        <v>27</v>
      </c>
      <c r="B37" s="85"/>
      <c r="C37" s="85"/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6">
        <v>0</v>
      </c>
      <c r="K37" s="35">
        <v>0</v>
      </c>
      <c r="L37" s="35">
        <v>0</v>
      </c>
      <c r="M37" s="35">
        <v>0</v>
      </c>
      <c r="N37" s="35">
        <v>0</v>
      </c>
      <c r="O37" s="36">
        <v>1357.35</v>
      </c>
      <c r="P37" s="37">
        <f t="shared" si="1"/>
        <v>1357.35</v>
      </c>
      <c r="Q37" s="37">
        <f t="shared" si="2"/>
        <v>113.1125</v>
      </c>
      <c r="R37" s="32"/>
    </row>
    <row r="38" spans="1:18" ht="12">
      <c r="A38" s="86" t="s">
        <v>28</v>
      </c>
      <c r="B38" s="86"/>
      <c r="C38" s="86"/>
      <c r="D38" s="38">
        <v>4540</v>
      </c>
      <c r="E38" s="38">
        <v>4540</v>
      </c>
      <c r="F38" s="38">
        <v>4814</v>
      </c>
      <c r="G38" s="38">
        <v>4814</v>
      </c>
      <c r="H38" s="38">
        <v>4814</v>
      </c>
      <c r="I38" s="38">
        <v>4814</v>
      </c>
      <c r="J38" s="37">
        <v>4827</v>
      </c>
      <c r="K38" s="38">
        <v>4827</v>
      </c>
      <c r="L38" s="38">
        <v>4826</v>
      </c>
      <c r="M38" s="38">
        <v>4827</v>
      </c>
      <c r="N38" s="38">
        <v>4827</v>
      </c>
      <c r="O38" s="37">
        <v>4826</v>
      </c>
      <c r="P38" s="37">
        <f t="shared" si="1"/>
        <v>57296</v>
      </c>
      <c r="Q38" s="37">
        <f t="shared" si="2"/>
        <v>4774.666666666667</v>
      </c>
      <c r="R38" s="32"/>
    </row>
    <row r="39" spans="1:18" ht="12">
      <c r="A39" s="85" t="s">
        <v>29</v>
      </c>
      <c r="B39" s="85"/>
      <c r="C39" s="85"/>
      <c r="D39" s="35">
        <v>2237.23</v>
      </c>
      <c r="E39" s="35">
        <v>2244.23</v>
      </c>
      <c r="F39" s="35">
        <v>2472.44</v>
      </c>
      <c r="G39" s="35">
        <v>2472.6999999999998</v>
      </c>
      <c r="H39" s="35">
        <v>2472.04</v>
      </c>
      <c r="I39" s="35">
        <v>1964.59</v>
      </c>
      <c r="J39" s="36">
        <v>2459.71</v>
      </c>
      <c r="K39" s="35">
        <v>2459.71</v>
      </c>
      <c r="L39" s="35">
        <v>2459.71</v>
      </c>
      <c r="M39" s="35">
        <v>2459.71</v>
      </c>
      <c r="N39" s="35">
        <v>2459.71</v>
      </c>
      <c r="O39" s="36">
        <v>2459.71</v>
      </c>
      <c r="P39" s="37">
        <f t="shared" si="1"/>
        <v>28621.489999999994</v>
      </c>
      <c r="Q39" s="37">
        <f t="shared" si="2"/>
        <v>2385.124166666666</v>
      </c>
      <c r="R39" s="32"/>
    </row>
    <row r="40" spans="1:18" ht="12">
      <c r="A40" s="86" t="s">
        <v>30</v>
      </c>
      <c r="B40" s="86"/>
      <c r="C40" s="86"/>
      <c r="D40" s="38">
        <v>0</v>
      </c>
      <c r="E40" s="38">
        <v>0</v>
      </c>
      <c r="F40" s="38">
        <v>65437.37</v>
      </c>
      <c r="G40" s="38">
        <v>0</v>
      </c>
      <c r="H40" s="38">
        <v>0</v>
      </c>
      <c r="I40" s="38">
        <v>0</v>
      </c>
      <c r="J40" s="37">
        <v>0</v>
      </c>
      <c r="K40" s="38">
        <v>0</v>
      </c>
      <c r="L40" s="38">
        <v>0</v>
      </c>
      <c r="M40" s="38">
        <v>0</v>
      </c>
      <c r="N40" s="38">
        <v>0</v>
      </c>
      <c r="O40" s="37">
        <v>0</v>
      </c>
      <c r="P40" s="37">
        <f t="shared" si="1"/>
        <v>65437.37</v>
      </c>
      <c r="Q40" s="37">
        <f t="shared" si="2"/>
        <v>5453.1141666666672</v>
      </c>
      <c r="R40" s="32"/>
    </row>
    <row r="41" spans="1:18" ht="12">
      <c r="A41" s="85" t="s">
        <v>31</v>
      </c>
      <c r="B41" s="85"/>
      <c r="C41" s="85"/>
      <c r="D41" s="35">
        <v>0</v>
      </c>
      <c r="E41" s="35">
        <v>0</v>
      </c>
      <c r="F41" s="35">
        <v>5301.69</v>
      </c>
      <c r="G41" s="35">
        <v>0</v>
      </c>
      <c r="H41" s="35">
        <v>0</v>
      </c>
      <c r="I41" s="35">
        <v>0</v>
      </c>
      <c r="J41" s="36">
        <v>0</v>
      </c>
      <c r="K41" s="35">
        <v>0</v>
      </c>
      <c r="L41" s="35">
        <v>0</v>
      </c>
      <c r="M41" s="35">
        <v>0</v>
      </c>
      <c r="N41" s="35">
        <v>0</v>
      </c>
      <c r="O41" s="36">
        <v>0</v>
      </c>
      <c r="P41" s="37">
        <f t="shared" si="1"/>
        <v>5301.69</v>
      </c>
      <c r="Q41" s="37">
        <f t="shared" si="2"/>
        <v>441.80749999999995</v>
      </c>
      <c r="R41" s="32"/>
    </row>
    <row r="42" spans="1:18" ht="12">
      <c r="A42" s="86" t="s">
        <v>32</v>
      </c>
      <c r="B42" s="86"/>
      <c r="C42" s="86"/>
      <c r="D42" s="38">
        <v>0</v>
      </c>
      <c r="E42" s="38">
        <v>0</v>
      </c>
      <c r="F42" s="38">
        <v>0</v>
      </c>
      <c r="G42" s="38">
        <v>0</v>
      </c>
      <c r="H42" s="38">
        <v>700.03</v>
      </c>
      <c r="I42" s="38">
        <v>0</v>
      </c>
      <c r="J42" s="37">
        <v>0</v>
      </c>
      <c r="K42" s="38">
        <v>0</v>
      </c>
      <c r="L42" s="38">
        <v>0</v>
      </c>
      <c r="M42" s="38">
        <v>0</v>
      </c>
      <c r="N42" s="38">
        <v>0</v>
      </c>
      <c r="O42" s="37">
        <v>0</v>
      </c>
      <c r="P42" s="37">
        <f t="shared" si="1"/>
        <v>700.03</v>
      </c>
      <c r="Q42" s="37">
        <f t="shared" si="2"/>
        <v>58.335833333333333</v>
      </c>
      <c r="R42" s="32"/>
    </row>
    <row r="43" spans="1:18" ht="12">
      <c r="A43" s="85" t="s">
        <v>33</v>
      </c>
      <c r="B43" s="85"/>
      <c r="C43" s="85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1326.93</v>
      </c>
      <c r="J43" s="36">
        <v>1326.93</v>
      </c>
      <c r="K43" s="35">
        <v>1326.93</v>
      </c>
      <c r="L43" s="35">
        <v>1326.93</v>
      </c>
      <c r="M43" s="35">
        <v>1326.93</v>
      </c>
      <c r="N43" s="35">
        <v>1327.03</v>
      </c>
      <c r="O43" s="36">
        <v>0</v>
      </c>
      <c r="P43" s="37">
        <f t="shared" si="1"/>
        <v>7961.68</v>
      </c>
      <c r="Q43" s="37">
        <f t="shared" si="2"/>
        <v>663.47333333333336</v>
      </c>
      <c r="R43" s="32"/>
    </row>
    <row r="44" spans="1:18" ht="12">
      <c r="A44" s="86" t="s">
        <v>34</v>
      </c>
      <c r="B44" s="86"/>
      <c r="C44" s="86"/>
      <c r="D44" s="38">
        <v>241.63</v>
      </c>
      <c r="E44" s="38">
        <v>59.4</v>
      </c>
      <c r="F44" s="38">
        <v>269.16000000000003</v>
      </c>
      <c r="G44" s="38">
        <v>118.8</v>
      </c>
      <c r="H44" s="38">
        <v>0</v>
      </c>
      <c r="I44" s="38">
        <v>767.88</v>
      </c>
      <c r="J44" s="37">
        <v>721.89</v>
      </c>
      <c r="K44" s="38">
        <v>262.56</v>
      </c>
      <c r="L44" s="38">
        <v>0</v>
      </c>
      <c r="M44" s="38">
        <v>255.96</v>
      </c>
      <c r="N44" s="38">
        <v>0</v>
      </c>
      <c r="O44" s="37">
        <v>0</v>
      </c>
      <c r="P44" s="37">
        <f t="shared" si="1"/>
        <v>2697.2799999999997</v>
      </c>
      <c r="Q44" s="37">
        <f t="shared" si="2"/>
        <v>224.77333333333331</v>
      </c>
      <c r="R44" s="32"/>
    </row>
    <row r="45" spans="1:18" ht="12">
      <c r="A45" s="85" t="s">
        <v>145</v>
      </c>
      <c r="B45" s="85"/>
      <c r="C45" s="85"/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6">
        <v>0</v>
      </c>
      <c r="K45" s="35">
        <v>0</v>
      </c>
      <c r="L45" s="35">
        <v>3122.13</v>
      </c>
      <c r="M45" s="35">
        <v>0</v>
      </c>
      <c r="N45" s="35">
        <v>0</v>
      </c>
      <c r="O45" s="36">
        <v>0</v>
      </c>
      <c r="P45" s="37">
        <f t="shared" si="1"/>
        <v>3122.13</v>
      </c>
      <c r="Q45" s="37">
        <f t="shared" si="2"/>
        <v>260.17750000000001</v>
      </c>
      <c r="R45" s="32"/>
    </row>
    <row r="46" spans="1:18" ht="12">
      <c r="A46" s="87" t="s">
        <v>36</v>
      </c>
      <c r="B46" s="87"/>
      <c r="C46" s="87"/>
      <c r="D46" s="40">
        <f>SUM(D47:D62)</f>
        <v>143203.00999999998</v>
      </c>
      <c r="E46" s="40">
        <f t="shared" ref="E46:O46" si="6">SUM(E47:E62)</f>
        <v>103883.78000000001</v>
      </c>
      <c r="F46" s="40">
        <f t="shared" si="6"/>
        <v>87697.03</v>
      </c>
      <c r="G46" s="40">
        <f t="shared" si="6"/>
        <v>120308.26000000001</v>
      </c>
      <c r="H46" s="40">
        <f t="shared" si="6"/>
        <v>92354.62</v>
      </c>
      <c r="I46" s="40">
        <f t="shared" si="6"/>
        <v>116613.07999999999</v>
      </c>
      <c r="J46" s="40">
        <f t="shared" si="6"/>
        <v>115414.88</v>
      </c>
      <c r="K46" s="40">
        <f t="shared" si="6"/>
        <v>93230.86</v>
      </c>
      <c r="L46" s="40">
        <f t="shared" si="6"/>
        <v>106248.19000000002</v>
      </c>
      <c r="M46" s="40">
        <f t="shared" si="6"/>
        <v>101166.82999999999</v>
      </c>
      <c r="N46" s="40">
        <f t="shared" si="6"/>
        <v>105353.95000000001</v>
      </c>
      <c r="O46" s="40">
        <f t="shared" si="6"/>
        <v>125280.70999999999</v>
      </c>
      <c r="P46" s="37">
        <f t="shared" si="1"/>
        <v>1310755.2</v>
      </c>
      <c r="Q46" s="37">
        <f t="shared" si="2"/>
        <v>109229.59999999999</v>
      </c>
      <c r="R46" s="32"/>
    </row>
    <row r="47" spans="1:18" ht="12">
      <c r="A47" s="85" t="s">
        <v>37</v>
      </c>
      <c r="B47" s="85"/>
      <c r="C47" s="85"/>
      <c r="D47" s="35">
        <v>48667</v>
      </c>
      <c r="E47" s="35">
        <v>46607</v>
      </c>
      <c r="F47" s="35">
        <v>44242</v>
      </c>
      <c r="G47" s="35">
        <v>47784</v>
      </c>
      <c r="H47" s="35">
        <v>44042</v>
      </c>
      <c r="I47" s="35">
        <v>47750.400000000001</v>
      </c>
      <c r="J47" s="36">
        <v>49031</v>
      </c>
      <c r="K47" s="35">
        <v>43835</v>
      </c>
      <c r="L47" s="35">
        <v>44045.8</v>
      </c>
      <c r="M47" s="35">
        <v>48132</v>
      </c>
      <c r="N47" s="35">
        <v>53383</v>
      </c>
      <c r="O47" s="36">
        <v>53417</v>
      </c>
      <c r="P47" s="37">
        <f t="shared" si="1"/>
        <v>570936.19999999995</v>
      </c>
      <c r="Q47" s="37">
        <f t="shared" si="2"/>
        <v>47578.016666666663</v>
      </c>
      <c r="R47" s="32"/>
    </row>
    <row r="48" spans="1:18" ht="12">
      <c r="A48" s="86" t="s">
        <v>38</v>
      </c>
      <c r="B48" s="86"/>
      <c r="C48" s="86"/>
      <c r="D48" s="38">
        <v>21530.09</v>
      </c>
      <c r="E48" s="38">
        <v>13983.37</v>
      </c>
      <c r="F48" s="38">
        <v>6422.33</v>
      </c>
      <c r="G48" s="38">
        <v>21892.53</v>
      </c>
      <c r="H48" s="38">
        <v>15721.52</v>
      </c>
      <c r="I48" s="38">
        <v>19997.78</v>
      </c>
      <c r="J48" s="37">
        <v>14866.39</v>
      </c>
      <c r="K48" s="38">
        <v>15889.35</v>
      </c>
      <c r="L48" s="38">
        <v>15336.89</v>
      </c>
      <c r="M48" s="38">
        <v>16278.65</v>
      </c>
      <c r="N48" s="38">
        <v>16677.07</v>
      </c>
      <c r="O48" s="37">
        <v>16518.93</v>
      </c>
      <c r="P48" s="37">
        <f t="shared" si="1"/>
        <v>195114.9</v>
      </c>
      <c r="Q48" s="37">
        <f t="shared" si="2"/>
        <v>16259.574999999999</v>
      </c>
      <c r="R48" s="32"/>
    </row>
    <row r="49" spans="1:18" ht="12">
      <c r="A49" s="85" t="s">
        <v>39</v>
      </c>
      <c r="B49" s="85"/>
      <c r="C49" s="85"/>
      <c r="D49" s="35">
        <v>71.900000000000006</v>
      </c>
      <c r="E49" s="35">
        <v>784.64</v>
      </c>
      <c r="F49" s="35">
        <v>317.51</v>
      </c>
      <c r="G49" s="35">
        <v>489.3</v>
      </c>
      <c r="H49" s="35">
        <v>1665.5</v>
      </c>
      <c r="I49" s="35">
        <v>1753.5</v>
      </c>
      <c r="J49" s="36">
        <v>499.8</v>
      </c>
      <c r="K49" s="35">
        <v>0</v>
      </c>
      <c r="L49" s="35">
        <v>370.91</v>
      </c>
      <c r="M49" s="35">
        <v>0</v>
      </c>
      <c r="N49" s="35">
        <v>1272.6500000000001</v>
      </c>
      <c r="O49" s="36">
        <v>1674.35</v>
      </c>
      <c r="P49" s="37">
        <f t="shared" si="1"/>
        <v>8900.0600000000013</v>
      </c>
      <c r="Q49" s="37">
        <f t="shared" si="2"/>
        <v>741.67166666666674</v>
      </c>
      <c r="R49" s="32"/>
    </row>
    <row r="50" spans="1:18" ht="12">
      <c r="A50" s="86" t="s">
        <v>40</v>
      </c>
      <c r="B50" s="86"/>
      <c r="C50" s="86"/>
      <c r="D50" s="38">
        <v>246.43</v>
      </c>
      <c r="E50" s="38">
        <v>243.75</v>
      </c>
      <c r="F50" s="38">
        <v>269.97000000000003</v>
      </c>
      <c r="G50" s="38">
        <v>258.13</v>
      </c>
      <c r="H50" s="38">
        <v>218.17</v>
      </c>
      <c r="I50" s="38">
        <v>229.36</v>
      </c>
      <c r="J50" s="37">
        <v>230</v>
      </c>
      <c r="K50" s="38">
        <v>230</v>
      </c>
      <c r="L50" s="38">
        <v>390.93</v>
      </c>
      <c r="M50" s="38">
        <v>293.19</v>
      </c>
      <c r="N50" s="38">
        <v>300.61</v>
      </c>
      <c r="O50" s="37">
        <v>285.76</v>
      </c>
      <c r="P50" s="37">
        <f t="shared" si="1"/>
        <v>3196.3</v>
      </c>
      <c r="Q50" s="37">
        <f t="shared" si="2"/>
        <v>266.35833333333335</v>
      </c>
      <c r="R50" s="32"/>
    </row>
    <row r="51" spans="1:18" ht="12">
      <c r="A51" s="85" t="s">
        <v>41</v>
      </c>
      <c r="B51" s="85"/>
      <c r="C51" s="85"/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6">
        <v>0</v>
      </c>
      <c r="K51" s="35">
        <v>0</v>
      </c>
      <c r="L51" s="35">
        <v>0</v>
      </c>
      <c r="M51" s="35">
        <v>0</v>
      </c>
      <c r="N51" s="35">
        <v>1993.7</v>
      </c>
      <c r="O51" s="36">
        <v>47.28</v>
      </c>
      <c r="P51" s="37">
        <f t="shared" si="1"/>
        <v>2040.98</v>
      </c>
      <c r="Q51" s="37">
        <f t="shared" si="2"/>
        <v>170.08166666666668</v>
      </c>
      <c r="R51" s="32"/>
    </row>
    <row r="52" spans="1:18" ht="12">
      <c r="A52" s="86" t="s">
        <v>42</v>
      </c>
      <c r="B52" s="86"/>
      <c r="C52" s="86"/>
      <c r="D52" s="38">
        <v>2808.9</v>
      </c>
      <c r="E52" s="38">
        <v>3348.4</v>
      </c>
      <c r="F52" s="38">
        <v>1478.6</v>
      </c>
      <c r="G52" s="38">
        <v>730</v>
      </c>
      <c r="H52" s="38">
        <v>0</v>
      </c>
      <c r="I52" s="38">
        <v>1564.87</v>
      </c>
      <c r="J52" s="37">
        <v>0</v>
      </c>
      <c r="K52" s="38">
        <v>0</v>
      </c>
      <c r="L52" s="38">
        <v>0</v>
      </c>
      <c r="M52" s="38">
        <v>528.88</v>
      </c>
      <c r="N52" s="38">
        <v>0</v>
      </c>
      <c r="O52" s="37">
        <v>0</v>
      </c>
      <c r="P52" s="37">
        <f t="shared" si="1"/>
        <v>10459.65</v>
      </c>
      <c r="Q52" s="37">
        <f t="shared" si="2"/>
        <v>871.63749999999993</v>
      </c>
      <c r="R52" s="32"/>
    </row>
    <row r="53" spans="1:18" ht="12">
      <c r="A53" s="85" t="s">
        <v>43</v>
      </c>
      <c r="B53" s="85"/>
      <c r="C53" s="85"/>
      <c r="D53" s="35">
        <v>295.92</v>
      </c>
      <c r="E53" s="35">
        <v>295.92</v>
      </c>
      <c r="F53" s="35">
        <v>295.92</v>
      </c>
      <c r="G53" s="35">
        <v>295.92</v>
      </c>
      <c r="H53" s="35">
        <v>308.14999999999998</v>
      </c>
      <c r="I53" s="35">
        <v>308.14999999999998</v>
      </c>
      <c r="J53" s="36">
        <v>308.14999999999998</v>
      </c>
      <c r="K53" s="35">
        <v>308.14999999999998</v>
      </c>
      <c r="L53" s="35">
        <v>308.14999999999998</v>
      </c>
      <c r="M53" s="35">
        <v>308.14999999999998</v>
      </c>
      <c r="N53" s="35">
        <v>494.94</v>
      </c>
      <c r="O53" s="36">
        <v>494.94</v>
      </c>
      <c r="P53" s="37">
        <f t="shared" si="1"/>
        <v>4022.4600000000005</v>
      </c>
      <c r="Q53" s="37">
        <f t="shared" si="2"/>
        <v>335.20500000000004</v>
      </c>
      <c r="R53" s="32"/>
    </row>
    <row r="54" spans="1:18" ht="12">
      <c r="A54" s="86" t="s">
        <v>44</v>
      </c>
      <c r="B54" s="86"/>
      <c r="C54" s="86"/>
      <c r="D54" s="38">
        <v>300</v>
      </c>
      <c r="E54" s="38">
        <v>300</v>
      </c>
      <c r="F54" s="38">
        <v>340</v>
      </c>
      <c r="G54" s="38">
        <v>320</v>
      </c>
      <c r="H54" s="38">
        <v>320</v>
      </c>
      <c r="I54" s="38">
        <v>300</v>
      </c>
      <c r="J54" s="37">
        <v>280</v>
      </c>
      <c r="K54" s="38">
        <v>300</v>
      </c>
      <c r="L54" s="38">
        <v>300</v>
      </c>
      <c r="M54" s="38">
        <v>300</v>
      </c>
      <c r="N54" s="38">
        <v>0</v>
      </c>
      <c r="O54" s="37">
        <v>0</v>
      </c>
      <c r="P54" s="37">
        <f t="shared" si="1"/>
        <v>3060</v>
      </c>
      <c r="Q54" s="37">
        <f t="shared" si="2"/>
        <v>255</v>
      </c>
      <c r="R54" s="32"/>
    </row>
    <row r="55" spans="1:18" ht="12">
      <c r="A55" s="85" t="s">
        <v>45</v>
      </c>
      <c r="B55" s="85"/>
      <c r="C55" s="85"/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6">
        <v>0</v>
      </c>
      <c r="K55" s="35">
        <v>0</v>
      </c>
      <c r="L55" s="35">
        <v>0</v>
      </c>
      <c r="M55" s="35">
        <v>0</v>
      </c>
      <c r="N55" s="35">
        <v>320</v>
      </c>
      <c r="O55" s="36">
        <v>340</v>
      </c>
      <c r="P55" s="37">
        <f t="shared" si="1"/>
        <v>660</v>
      </c>
      <c r="Q55" s="37">
        <f t="shared" si="2"/>
        <v>55</v>
      </c>
      <c r="R55" s="32"/>
    </row>
    <row r="56" spans="1:18" ht="12">
      <c r="A56" s="86" t="s">
        <v>146</v>
      </c>
      <c r="B56" s="86"/>
      <c r="C56" s="86"/>
      <c r="D56" s="38">
        <v>166</v>
      </c>
      <c r="E56" s="38">
        <v>166</v>
      </c>
      <c r="F56" s="38">
        <v>166</v>
      </c>
      <c r="G56" s="38">
        <v>166</v>
      </c>
      <c r="H56" s="38">
        <v>0</v>
      </c>
      <c r="I56" s="38">
        <v>0</v>
      </c>
      <c r="J56" s="37">
        <v>0</v>
      </c>
      <c r="K56" s="38">
        <v>0</v>
      </c>
      <c r="L56" s="38">
        <v>0</v>
      </c>
      <c r="M56" s="38">
        <v>0</v>
      </c>
      <c r="N56" s="38">
        <v>0</v>
      </c>
      <c r="O56" s="37">
        <v>0</v>
      </c>
      <c r="P56" s="37">
        <f t="shared" si="1"/>
        <v>664</v>
      </c>
      <c r="Q56" s="37">
        <f t="shared" si="2"/>
        <v>55.333333333333336</v>
      </c>
      <c r="R56" s="32"/>
    </row>
    <row r="57" spans="1:18" ht="12">
      <c r="A57" s="85" t="s">
        <v>46</v>
      </c>
      <c r="B57" s="85"/>
      <c r="C57" s="85"/>
      <c r="D57" s="35">
        <v>24079.08</v>
      </c>
      <c r="E57" s="35">
        <v>23703.9</v>
      </c>
      <c r="F57" s="35">
        <v>22425.01</v>
      </c>
      <c r="G57" s="35">
        <v>22462.9</v>
      </c>
      <c r="H57" s="35">
        <v>24237.91</v>
      </c>
      <c r="I57" s="35">
        <v>25460.94</v>
      </c>
      <c r="J57" s="36">
        <v>26978.98</v>
      </c>
      <c r="K57" s="35">
        <v>26317.08</v>
      </c>
      <c r="L57" s="35">
        <v>24656.17</v>
      </c>
      <c r="M57" s="35">
        <v>25077.3</v>
      </c>
      <c r="N57" s="35">
        <v>25147.79</v>
      </c>
      <c r="O57" s="36">
        <v>27212.85</v>
      </c>
      <c r="P57" s="37">
        <f t="shared" si="1"/>
        <v>297759.90999999997</v>
      </c>
      <c r="Q57" s="37">
        <f t="shared" si="2"/>
        <v>24813.325833333332</v>
      </c>
      <c r="R57" s="32"/>
    </row>
    <row r="58" spans="1:18" ht="12">
      <c r="A58" s="86" t="s">
        <v>47</v>
      </c>
      <c r="B58" s="86"/>
      <c r="C58" s="86"/>
      <c r="D58" s="38">
        <v>5500.01</v>
      </c>
      <c r="E58" s="38">
        <v>6239.22</v>
      </c>
      <c r="F58" s="38">
        <v>4045.2</v>
      </c>
      <c r="G58" s="38">
        <v>4127.78</v>
      </c>
      <c r="H58" s="38">
        <v>4464.37</v>
      </c>
      <c r="I58" s="38">
        <v>4619.7299999999996</v>
      </c>
      <c r="J58" s="37">
        <v>4877.04</v>
      </c>
      <c r="K58" s="38">
        <v>5190.28</v>
      </c>
      <c r="L58" s="38">
        <v>5347.21</v>
      </c>
      <c r="M58" s="38">
        <v>5530.76</v>
      </c>
      <c r="N58" s="38">
        <v>5154.1899999999996</v>
      </c>
      <c r="O58" s="37">
        <v>5748.6</v>
      </c>
      <c r="P58" s="37">
        <f t="shared" si="1"/>
        <v>60844.39</v>
      </c>
      <c r="Q58" s="37">
        <f t="shared" si="2"/>
        <v>5070.3658333333333</v>
      </c>
      <c r="R58" s="32"/>
    </row>
    <row r="59" spans="1:18" ht="12">
      <c r="A59" s="85" t="s">
        <v>48</v>
      </c>
      <c r="B59" s="85"/>
      <c r="C59" s="85"/>
      <c r="D59" s="35">
        <v>0</v>
      </c>
      <c r="E59" s="35">
        <v>0</v>
      </c>
      <c r="F59" s="35">
        <v>5975.49</v>
      </c>
      <c r="G59" s="35">
        <v>8847.07</v>
      </c>
      <c r="H59" s="35">
        <v>0</v>
      </c>
      <c r="I59" s="35">
        <v>13097.75</v>
      </c>
      <c r="J59" s="36">
        <v>17101.52</v>
      </c>
      <c r="K59" s="35">
        <v>0</v>
      </c>
      <c r="L59" s="35">
        <v>4493.13</v>
      </c>
      <c r="M59" s="35">
        <v>3601.9</v>
      </c>
      <c r="N59" s="35">
        <v>0</v>
      </c>
      <c r="O59" s="36">
        <v>0</v>
      </c>
      <c r="P59" s="37">
        <f t="shared" si="1"/>
        <v>53116.86</v>
      </c>
      <c r="Q59" s="37">
        <f t="shared" si="2"/>
        <v>4426.4049999999997</v>
      </c>
      <c r="R59" s="32"/>
    </row>
    <row r="60" spans="1:18" ht="12">
      <c r="A60" s="86" t="s">
        <v>49</v>
      </c>
      <c r="B60" s="86"/>
      <c r="C60" s="86"/>
      <c r="D60" s="38">
        <v>38781.68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7">
        <v>0</v>
      </c>
      <c r="K60" s="38">
        <v>0</v>
      </c>
      <c r="L60" s="38">
        <v>9107</v>
      </c>
      <c r="M60" s="38">
        <v>0</v>
      </c>
      <c r="N60" s="38">
        <v>0</v>
      </c>
      <c r="O60" s="37">
        <v>18601</v>
      </c>
      <c r="P60" s="37">
        <f t="shared" si="1"/>
        <v>66489.679999999993</v>
      </c>
      <c r="Q60" s="37">
        <f t="shared" si="2"/>
        <v>5540.8066666666664</v>
      </c>
      <c r="R60" s="32"/>
    </row>
    <row r="61" spans="1:18" ht="12">
      <c r="A61" s="85" t="s">
        <v>50</v>
      </c>
      <c r="B61" s="85"/>
      <c r="C61" s="85"/>
      <c r="D61" s="35">
        <v>0</v>
      </c>
      <c r="E61" s="35">
        <v>6807.58</v>
      </c>
      <c r="F61" s="35">
        <v>0</v>
      </c>
      <c r="G61" s="35">
        <v>12835.63</v>
      </c>
      <c r="H61" s="35">
        <v>0</v>
      </c>
      <c r="I61" s="35">
        <v>0</v>
      </c>
      <c r="J61" s="36">
        <v>0</v>
      </c>
      <c r="K61" s="35">
        <v>0</v>
      </c>
      <c r="L61" s="35">
        <v>929</v>
      </c>
      <c r="M61" s="35">
        <v>0</v>
      </c>
      <c r="N61" s="35">
        <v>610</v>
      </c>
      <c r="O61" s="36">
        <v>940</v>
      </c>
      <c r="P61" s="37">
        <f t="shared" si="1"/>
        <v>22122.21</v>
      </c>
      <c r="Q61" s="37">
        <f t="shared" si="2"/>
        <v>1843.5174999999999</v>
      </c>
      <c r="R61" s="32"/>
    </row>
    <row r="62" spans="1:18" ht="12">
      <c r="A62" s="86" t="s">
        <v>51</v>
      </c>
      <c r="B62" s="86"/>
      <c r="C62" s="86"/>
      <c r="D62" s="38">
        <v>756</v>
      </c>
      <c r="E62" s="38">
        <v>1404</v>
      </c>
      <c r="F62" s="38">
        <v>1719</v>
      </c>
      <c r="G62" s="38">
        <v>99</v>
      </c>
      <c r="H62" s="38">
        <v>1377</v>
      </c>
      <c r="I62" s="38">
        <v>1530.6</v>
      </c>
      <c r="J62" s="37">
        <v>1242</v>
      </c>
      <c r="K62" s="38">
        <v>1161</v>
      </c>
      <c r="L62" s="38">
        <v>963</v>
      </c>
      <c r="M62" s="38">
        <v>1116</v>
      </c>
      <c r="N62" s="38">
        <v>0</v>
      </c>
      <c r="O62" s="37">
        <v>0</v>
      </c>
      <c r="P62" s="37">
        <f t="shared" si="1"/>
        <v>11367.6</v>
      </c>
      <c r="Q62" s="37">
        <f t="shared" si="2"/>
        <v>947.30000000000007</v>
      </c>
      <c r="R62" s="32"/>
    </row>
    <row r="63" spans="1:18" ht="12">
      <c r="A63" s="89" t="s">
        <v>52</v>
      </c>
      <c r="B63" s="89"/>
      <c r="C63" s="89"/>
      <c r="D63" s="41">
        <f>D64+D75+D88+D92</f>
        <v>46933.689999999995</v>
      </c>
      <c r="E63" s="41">
        <f>E64+E75+E88+E92</f>
        <v>38441.130000000005</v>
      </c>
      <c r="F63" s="41">
        <f t="shared" ref="F63:O63" si="7">F64+F75+F88+F92</f>
        <v>43106.75</v>
      </c>
      <c r="G63" s="41">
        <f t="shared" si="7"/>
        <v>55739.43</v>
      </c>
      <c r="H63" s="41">
        <f t="shared" si="7"/>
        <v>74070.3</v>
      </c>
      <c r="I63" s="41">
        <f t="shared" si="7"/>
        <v>80019.700000000012</v>
      </c>
      <c r="J63" s="41">
        <f t="shared" si="7"/>
        <v>56343.06</v>
      </c>
      <c r="K63" s="41">
        <f t="shared" si="7"/>
        <v>49242.39</v>
      </c>
      <c r="L63" s="41">
        <f t="shared" si="7"/>
        <v>49670.8</v>
      </c>
      <c r="M63" s="41">
        <f t="shared" si="7"/>
        <v>71250.260000000009</v>
      </c>
      <c r="N63" s="41">
        <f t="shared" si="7"/>
        <v>33879.81</v>
      </c>
      <c r="O63" s="41">
        <f t="shared" si="7"/>
        <v>41050.25</v>
      </c>
      <c r="P63" s="37">
        <f t="shared" si="1"/>
        <v>639747.57000000007</v>
      </c>
      <c r="Q63" s="37">
        <f t="shared" si="2"/>
        <v>53312.297500000008</v>
      </c>
      <c r="R63" s="32"/>
    </row>
    <row r="64" spans="1:18" ht="12">
      <c r="A64" s="87" t="s">
        <v>53</v>
      </c>
      <c r="B64" s="87"/>
      <c r="C64" s="87"/>
      <c r="D64" s="40">
        <f>SUM(D65:D74)</f>
        <v>11409.97</v>
      </c>
      <c r="E64" s="40">
        <f>SUM(E65:E74)</f>
        <v>5970.4899999999989</v>
      </c>
      <c r="F64" s="40">
        <f t="shared" ref="F64:O64" si="8">SUM(F65:F74)</f>
        <v>4413.7199999999993</v>
      </c>
      <c r="G64" s="40">
        <f t="shared" si="8"/>
        <v>14024.140000000001</v>
      </c>
      <c r="H64" s="40">
        <f t="shared" si="8"/>
        <v>53117.58</v>
      </c>
      <c r="I64" s="40">
        <f t="shared" si="8"/>
        <v>58341.08</v>
      </c>
      <c r="J64" s="40">
        <f t="shared" si="8"/>
        <v>32347.01</v>
      </c>
      <c r="K64" s="40">
        <f t="shared" si="8"/>
        <v>21900.84</v>
      </c>
      <c r="L64" s="40">
        <f t="shared" si="8"/>
        <v>18122.11</v>
      </c>
      <c r="M64" s="40">
        <f t="shared" si="8"/>
        <v>41999.070000000007</v>
      </c>
      <c r="N64" s="40">
        <f t="shared" si="8"/>
        <v>12427.36</v>
      </c>
      <c r="O64" s="40">
        <f t="shared" si="8"/>
        <v>24398.149999999998</v>
      </c>
      <c r="P64" s="37">
        <f t="shared" si="1"/>
        <v>298471.52</v>
      </c>
      <c r="Q64" s="37">
        <f t="shared" si="2"/>
        <v>24872.626666666667</v>
      </c>
      <c r="R64" s="32"/>
    </row>
    <row r="65" spans="1:18" ht="12">
      <c r="A65" s="85" t="s">
        <v>54</v>
      </c>
      <c r="B65" s="85"/>
      <c r="C65" s="85"/>
      <c r="D65" s="35">
        <v>1483.91</v>
      </c>
      <c r="E65" s="35">
        <v>450</v>
      </c>
      <c r="F65" s="35">
        <v>1246</v>
      </c>
      <c r="G65" s="35">
        <v>734.59</v>
      </c>
      <c r="H65" s="35">
        <v>7759.9</v>
      </c>
      <c r="I65" s="48">
        <v>9264</v>
      </c>
      <c r="J65" s="36">
        <v>1586</v>
      </c>
      <c r="K65" s="35">
        <v>4959.3</v>
      </c>
      <c r="L65" s="35">
        <v>312</v>
      </c>
      <c r="M65" s="35">
        <v>1589.41</v>
      </c>
      <c r="N65" s="35">
        <v>1352.36</v>
      </c>
      <c r="O65" s="36">
        <v>1415.26</v>
      </c>
      <c r="P65" s="37">
        <f t="shared" si="1"/>
        <v>32152.73</v>
      </c>
      <c r="Q65" s="37">
        <f t="shared" si="2"/>
        <v>2679.3941666666665</v>
      </c>
      <c r="R65" s="32"/>
    </row>
    <row r="66" spans="1:18" ht="12">
      <c r="A66" s="86" t="s">
        <v>147</v>
      </c>
      <c r="B66" s="86"/>
      <c r="C66" s="86"/>
      <c r="D66" s="38">
        <v>143.94999999999999</v>
      </c>
      <c r="E66" s="38">
        <v>0</v>
      </c>
      <c r="F66" s="38">
        <v>0</v>
      </c>
      <c r="G66" s="38">
        <v>9047.84</v>
      </c>
      <c r="H66" s="38">
        <v>160.5</v>
      </c>
      <c r="I66" s="38">
        <v>8128.38</v>
      </c>
      <c r="J66" s="37">
        <v>1062.32</v>
      </c>
      <c r="K66" s="38">
        <v>5953.11</v>
      </c>
      <c r="L66" s="38">
        <v>596.48</v>
      </c>
      <c r="M66" s="38">
        <v>620.97</v>
      </c>
      <c r="N66" s="38">
        <v>0</v>
      </c>
      <c r="O66" s="37">
        <v>583.69000000000005</v>
      </c>
      <c r="P66" s="37">
        <f t="shared" si="1"/>
        <v>26297.24</v>
      </c>
      <c r="Q66" s="37">
        <f t="shared" si="2"/>
        <v>2191.436666666667</v>
      </c>
      <c r="R66" s="32"/>
    </row>
    <row r="67" spans="1:18" ht="12">
      <c r="A67" s="85" t="s">
        <v>55</v>
      </c>
      <c r="B67" s="85"/>
      <c r="C67" s="85"/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448.8</v>
      </c>
      <c r="J67" s="36">
        <v>0</v>
      </c>
      <c r="K67" s="35">
        <v>0</v>
      </c>
      <c r="L67" s="35">
        <v>0</v>
      </c>
      <c r="M67" s="35">
        <v>0</v>
      </c>
      <c r="N67" s="35">
        <v>0</v>
      </c>
      <c r="O67" s="36">
        <v>1655.62</v>
      </c>
      <c r="P67" s="37">
        <f t="shared" ref="P67:P129" si="9">SUM(D67:O67)</f>
        <v>2104.42</v>
      </c>
      <c r="Q67" s="37">
        <f t="shared" ref="Q67:Q129" si="10">P67/12</f>
        <v>175.36833333333334</v>
      </c>
      <c r="R67" s="32"/>
    </row>
    <row r="68" spans="1:18" s="51" customFormat="1" ht="12">
      <c r="A68" s="91" t="s">
        <v>56</v>
      </c>
      <c r="B68" s="91"/>
      <c r="C68" s="91"/>
      <c r="D68" s="48">
        <v>3056.35</v>
      </c>
      <c r="E68" s="48">
        <v>470</v>
      </c>
      <c r="F68" s="48">
        <v>745</v>
      </c>
      <c r="G68" s="48">
        <v>1668.95</v>
      </c>
      <c r="H68" s="48">
        <v>38084.269999999997</v>
      </c>
      <c r="I68" s="48">
        <v>32052.83</v>
      </c>
      <c r="J68" s="49">
        <v>21136.71</v>
      </c>
      <c r="K68" s="48">
        <v>5285.77</v>
      </c>
      <c r="L68" s="48">
        <v>4280.74</v>
      </c>
      <c r="M68" s="48">
        <v>24962.31</v>
      </c>
      <c r="N68" s="48">
        <v>252.5</v>
      </c>
      <c r="O68" s="49">
        <v>8391.75</v>
      </c>
      <c r="P68" s="49">
        <f t="shared" si="9"/>
        <v>140387.18</v>
      </c>
      <c r="Q68" s="49">
        <f t="shared" si="10"/>
        <v>11698.931666666665</v>
      </c>
      <c r="R68" s="50"/>
    </row>
    <row r="69" spans="1:18" s="51" customFormat="1" ht="12">
      <c r="A69" s="91" t="s">
        <v>57</v>
      </c>
      <c r="B69" s="91"/>
      <c r="C69" s="91"/>
      <c r="D69" s="48">
        <v>584.5</v>
      </c>
      <c r="E69" s="48">
        <v>464.15</v>
      </c>
      <c r="F69" s="48">
        <v>184.14</v>
      </c>
      <c r="G69" s="48">
        <v>60</v>
      </c>
      <c r="H69" s="48">
        <v>3000</v>
      </c>
      <c r="I69" s="48">
        <v>5400</v>
      </c>
      <c r="J69" s="49">
        <v>0</v>
      </c>
      <c r="K69" s="48">
        <v>383.95</v>
      </c>
      <c r="L69" s="48">
        <v>700.29</v>
      </c>
      <c r="M69" s="48">
        <v>804.07</v>
      </c>
      <c r="N69" s="54">
        <v>5468.35</v>
      </c>
      <c r="O69" s="55">
        <v>6667.1</v>
      </c>
      <c r="P69" s="49">
        <f t="shared" si="9"/>
        <v>23716.550000000003</v>
      </c>
      <c r="Q69" s="49">
        <f t="shared" si="10"/>
        <v>1976.3791666666668</v>
      </c>
      <c r="R69" s="50"/>
    </row>
    <row r="70" spans="1:18" ht="12">
      <c r="A70" s="86" t="s">
        <v>58</v>
      </c>
      <c r="B70" s="86"/>
      <c r="C70" s="86"/>
      <c r="D70" s="38">
        <v>530.64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7">
        <v>0</v>
      </c>
      <c r="K70" s="38">
        <v>0</v>
      </c>
      <c r="L70" s="38">
        <v>1915.39</v>
      </c>
      <c r="M70" s="38">
        <v>1283.1300000000001</v>
      </c>
      <c r="N70" s="38">
        <v>1533.9</v>
      </c>
      <c r="O70" s="37">
        <v>260</v>
      </c>
      <c r="P70" s="37">
        <f t="shared" si="9"/>
        <v>5523.06</v>
      </c>
      <c r="Q70" s="37">
        <f t="shared" si="10"/>
        <v>460.25500000000005</v>
      </c>
      <c r="R70" s="32"/>
    </row>
    <row r="71" spans="1:18" ht="12">
      <c r="A71" s="85" t="s">
        <v>59</v>
      </c>
      <c r="B71" s="85"/>
      <c r="C71" s="85"/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6">
        <v>1378</v>
      </c>
      <c r="K71" s="35">
        <v>520</v>
      </c>
      <c r="L71" s="35">
        <v>6282.49</v>
      </c>
      <c r="M71" s="35">
        <v>1609.53</v>
      </c>
      <c r="N71" s="35">
        <v>1615.94</v>
      </c>
      <c r="O71" s="36">
        <v>653.91999999999996</v>
      </c>
      <c r="P71" s="37">
        <f t="shared" si="9"/>
        <v>12059.880000000001</v>
      </c>
      <c r="Q71" s="37">
        <f t="shared" si="10"/>
        <v>1004.9900000000001</v>
      </c>
      <c r="R71" s="32"/>
    </row>
    <row r="72" spans="1:18" ht="12">
      <c r="A72" s="86" t="s">
        <v>60</v>
      </c>
      <c r="B72" s="86"/>
      <c r="C72" s="86"/>
      <c r="D72" s="38">
        <v>5263.97</v>
      </c>
      <c r="E72" s="38">
        <v>4398.8999999999996</v>
      </c>
      <c r="F72" s="38">
        <v>1320.68</v>
      </c>
      <c r="G72" s="38">
        <v>1202.33</v>
      </c>
      <c r="H72" s="38">
        <v>1903.11</v>
      </c>
      <c r="I72" s="38">
        <v>241.88</v>
      </c>
      <c r="J72" s="37">
        <v>194.04</v>
      </c>
      <c r="K72" s="38">
        <v>2219</v>
      </c>
      <c r="L72" s="38">
        <v>2112.04</v>
      </c>
      <c r="M72" s="38">
        <v>1344.99</v>
      </c>
      <c r="N72" s="38">
        <v>1026.17</v>
      </c>
      <c r="O72" s="37">
        <v>3849.91</v>
      </c>
      <c r="P72" s="37">
        <f t="shared" si="9"/>
        <v>25077.02</v>
      </c>
      <c r="Q72" s="37">
        <f t="shared" si="10"/>
        <v>2089.7516666666666</v>
      </c>
      <c r="R72" s="32"/>
    </row>
    <row r="73" spans="1:18" ht="12">
      <c r="A73" s="85" t="s">
        <v>148</v>
      </c>
      <c r="B73" s="85"/>
      <c r="C73" s="85"/>
      <c r="D73" s="35">
        <v>334.65</v>
      </c>
      <c r="E73" s="35">
        <v>57.9</v>
      </c>
      <c r="F73" s="35">
        <v>57.9</v>
      </c>
      <c r="G73" s="35">
        <v>57.9</v>
      </c>
      <c r="H73" s="35">
        <v>57.9</v>
      </c>
      <c r="I73" s="35">
        <v>507.9</v>
      </c>
      <c r="J73" s="36">
        <v>3296.8</v>
      </c>
      <c r="K73" s="35">
        <v>246</v>
      </c>
      <c r="L73" s="35">
        <v>403.63</v>
      </c>
      <c r="M73" s="35">
        <v>9132</v>
      </c>
      <c r="N73" s="35">
        <v>398.93</v>
      </c>
      <c r="O73" s="36">
        <v>0</v>
      </c>
      <c r="P73" s="37">
        <f t="shared" si="9"/>
        <v>14551.51</v>
      </c>
      <c r="Q73" s="37">
        <f t="shared" si="10"/>
        <v>1212.6258333333333</v>
      </c>
      <c r="R73" s="32"/>
    </row>
    <row r="74" spans="1:18" ht="12">
      <c r="A74" s="86" t="s">
        <v>62</v>
      </c>
      <c r="B74" s="86"/>
      <c r="C74" s="86"/>
      <c r="D74" s="38">
        <v>12</v>
      </c>
      <c r="E74" s="38">
        <v>129.54</v>
      </c>
      <c r="F74" s="38">
        <v>860</v>
      </c>
      <c r="G74" s="38">
        <v>1252.53</v>
      </c>
      <c r="H74" s="38">
        <v>2151.9</v>
      </c>
      <c r="I74" s="38">
        <v>2297.29</v>
      </c>
      <c r="J74" s="37">
        <v>3693.14</v>
      </c>
      <c r="K74" s="38">
        <v>2333.71</v>
      </c>
      <c r="L74" s="38">
        <v>1519.05</v>
      </c>
      <c r="M74" s="38">
        <v>652.66</v>
      </c>
      <c r="N74" s="38">
        <v>779.21</v>
      </c>
      <c r="O74" s="37">
        <v>920.9</v>
      </c>
      <c r="P74" s="37">
        <f t="shared" si="9"/>
        <v>16601.93</v>
      </c>
      <c r="Q74" s="37">
        <f t="shared" si="10"/>
        <v>1383.4941666666666</v>
      </c>
      <c r="R74" s="32"/>
    </row>
    <row r="75" spans="1:18" ht="12">
      <c r="A75" s="89" t="s">
        <v>69</v>
      </c>
      <c r="B75" s="89"/>
      <c r="C75" s="89"/>
      <c r="D75" s="41">
        <f>SUM(D76:D87)</f>
        <v>12507.119999999999</v>
      </c>
      <c r="E75" s="41">
        <f t="shared" ref="E75:O75" si="11">SUM(E76:E87)</f>
        <v>14286.26</v>
      </c>
      <c r="F75" s="41">
        <f t="shared" si="11"/>
        <v>18337.96</v>
      </c>
      <c r="G75" s="41">
        <f t="shared" si="11"/>
        <v>16029.18</v>
      </c>
      <c r="H75" s="41">
        <f t="shared" si="11"/>
        <v>10434.39</v>
      </c>
      <c r="I75" s="41">
        <f t="shared" si="11"/>
        <v>9970.9600000000009</v>
      </c>
      <c r="J75" s="41">
        <f t="shared" si="11"/>
        <v>13934.769999999999</v>
      </c>
      <c r="K75" s="41">
        <f t="shared" si="11"/>
        <v>8299.52</v>
      </c>
      <c r="L75" s="41">
        <f t="shared" si="11"/>
        <v>19318.66</v>
      </c>
      <c r="M75" s="41">
        <f t="shared" si="11"/>
        <v>19502.52</v>
      </c>
      <c r="N75" s="41">
        <f t="shared" si="11"/>
        <v>15710.99</v>
      </c>
      <c r="O75" s="41">
        <f t="shared" si="11"/>
        <v>11571.330000000002</v>
      </c>
      <c r="P75" s="37">
        <f t="shared" si="9"/>
        <v>169903.66000000003</v>
      </c>
      <c r="Q75" s="37">
        <f t="shared" si="10"/>
        <v>14158.638333333336</v>
      </c>
      <c r="R75" s="32"/>
    </row>
    <row r="76" spans="1:18" ht="12">
      <c r="A76" s="86" t="s">
        <v>70</v>
      </c>
      <c r="B76" s="86"/>
      <c r="C76" s="86"/>
      <c r="D76" s="38">
        <v>1149.96</v>
      </c>
      <c r="E76" s="38">
        <v>5424.34</v>
      </c>
      <c r="F76" s="38">
        <v>1760.22</v>
      </c>
      <c r="G76" s="38">
        <v>1633.91</v>
      </c>
      <c r="H76" s="38">
        <v>1082.03</v>
      </c>
      <c r="I76" s="38">
        <v>392.83</v>
      </c>
      <c r="J76" s="37">
        <v>2776.34</v>
      </c>
      <c r="K76" s="38">
        <v>1272.49</v>
      </c>
      <c r="L76" s="38">
        <v>2465.4</v>
      </c>
      <c r="M76" s="38">
        <v>1917.67</v>
      </c>
      <c r="N76" s="38">
        <v>554.24</v>
      </c>
      <c r="O76" s="37">
        <v>1370</v>
      </c>
      <c r="P76" s="37">
        <f t="shared" si="9"/>
        <v>21799.430000000004</v>
      </c>
      <c r="Q76" s="37">
        <f t="shared" si="10"/>
        <v>1816.6191666666671</v>
      </c>
      <c r="R76" s="32"/>
    </row>
    <row r="77" spans="1:18" ht="12">
      <c r="A77" s="85" t="s">
        <v>71</v>
      </c>
      <c r="B77" s="85"/>
      <c r="C77" s="85"/>
      <c r="D77" s="35">
        <v>0</v>
      </c>
      <c r="E77" s="35">
        <v>2322.9899999999998</v>
      </c>
      <c r="F77" s="35">
        <v>3610.64</v>
      </c>
      <c r="G77" s="35">
        <v>1804.19</v>
      </c>
      <c r="H77" s="35">
        <v>972.5</v>
      </c>
      <c r="I77" s="35">
        <v>3714.82</v>
      </c>
      <c r="J77" s="36">
        <v>2960</v>
      </c>
      <c r="K77" s="35">
        <v>1630</v>
      </c>
      <c r="L77" s="35">
        <v>1630</v>
      </c>
      <c r="M77" s="35">
        <v>4004.91</v>
      </c>
      <c r="N77" s="35">
        <v>3024.04</v>
      </c>
      <c r="O77" s="36">
        <v>2179.59</v>
      </c>
      <c r="P77" s="37">
        <f t="shared" si="9"/>
        <v>27853.68</v>
      </c>
      <c r="Q77" s="37">
        <f t="shared" si="10"/>
        <v>2321.14</v>
      </c>
      <c r="R77" s="32"/>
    </row>
    <row r="78" spans="1:18" ht="12">
      <c r="A78" s="86" t="s">
        <v>72</v>
      </c>
      <c r="B78" s="86"/>
      <c r="C78" s="86"/>
      <c r="D78" s="38">
        <v>850</v>
      </c>
      <c r="E78" s="38">
        <v>525</v>
      </c>
      <c r="F78" s="38">
        <v>0</v>
      </c>
      <c r="G78" s="38">
        <v>0</v>
      </c>
      <c r="H78" s="38">
        <v>0</v>
      </c>
      <c r="I78" s="38">
        <v>0</v>
      </c>
      <c r="J78" s="37">
        <v>0</v>
      </c>
      <c r="K78" s="38">
        <v>0</v>
      </c>
      <c r="L78" s="38">
        <v>0</v>
      </c>
      <c r="M78" s="38">
        <v>0</v>
      </c>
      <c r="N78" s="38">
        <v>0</v>
      </c>
      <c r="O78" s="37">
        <v>0</v>
      </c>
      <c r="P78" s="37">
        <f t="shared" si="9"/>
        <v>1375</v>
      </c>
      <c r="Q78" s="37">
        <f t="shared" si="10"/>
        <v>114.58333333333333</v>
      </c>
      <c r="R78" s="32"/>
    </row>
    <row r="79" spans="1:18" ht="12">
      <c r="A79" s="85" t="s">
        <v>73</v>
      </c>
      <c r="B79" s="85"/>
      <c r="C79" s="85"/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6">
        <v>0</v>
      </c>
      <c r="K79" s="35">
        <v>0</v>
      </c>
      <c r="L79" s="35">
        <v>40.74</v>
      </c>
      <c r="M79" s="35">
        <v>0</v>
      </c>
      <c r="N79" s="35">
        <v>0</v>
      </c>
      <c r="O79" s="36">
        <v>0</v>
      </c>
      <c r="P79" s="37">
        <f t="shared" si="9"/>
        <v>40.74</v>
      </c>
      <c r="Q79" s="37">
        <f t="shared" si="10"/>
        <v>3.395</v>
      </c>
      <c r="R79" s="32"/>
    </row>
    <row r="80" spans="1:18" ht="12">
      <c r="A80" s="86" t="s">
        <v>74</v>
      </c>
      <c r="B80" s="86"/>
      <c r="C80" s="86"/>
      <c r="D80" s="38">
        <v>1990.92</v>
      </c>
      <c r="E80" s="38">
        <v>1699.12</v>
      </c>
      <c r="F80" s="38">
        <v>2553.62</v>
      </c>
      <c r="G80" s="38">
        <v>5208.7</v>
      </c>
      <c r="H80" s="38">
        <v>3600.71</v>
      </c>
      <c r="I80" s="38">
        <v>3485.25</v>
      </c>
      <c r="J80" s="37">
        <v>356.74</v>
      </c>
      <c r="K80" s="38">
        <v>926.5</v>
      </c>
      <c r="L80" s="38">
        <v>4132.4399999999996</v>
      </c>
      <c r="M80" s="38">
        <v>5942.33</v>
      </c>
      <c r="N80" s="38">
        <v>6744.12</v>
      </c>
      <c r="O80" s="37">
        <v>4351.6000000000004</v>
      </c>
      <c r="P80" s="37">
        <f t="shared" si="9"/>
        <v>40992.050000000003</v>
      </c>
      <c r="Q80" s="37">
        <f t="shared" si="10"/>
        <v>3416.0041666666671</v>
      </c>
      <c r="R80" s="32"/>
    </row>
    <row r="81" spans="1:18" ht="12">
      <c r="A81" s="85" t="s">
        <v>75</v>
      </c>
      <c r="B81" s="85"/>
      <c r="C81" s="85"/>
      <c r="D81" s="35">
        <v>0</v>
      </c>
      <c r="E81" s="35">
        <v>0</v>
      </c>
      <c r="F81" s="35">
        <v>0</v>
      </c>
      <c r="G81" s="35">
        <v>100</v>
      </c>
      <c r="H81" s="35">
        <v>0</v>
      </c>
      <c r="I81" s="35">
        <v>0</v>
      </c>
      <c r="J81" s="36">
        <v>0</v>
      </c>
      <c r="K81" s="35">
        <v>0</v>
      </c>
      <c r="L81" s="35">
        <v>0</v>
      </c>
      <c r="M81" s="35">
        <v>0</v>
      </c>
      <c r="N81" s="35">
        <v>0</v>
      </c>
      <c r="O81" s="36">
        <v>54.32</v>
      </c>
      <c r="P81" s="37">
        <f t="shared" si="9"/>
        <v>154.32</v>
      </c>
      <c r="Q81" s="37">
        <f t="shared" si="10"/>
        <v>12.86</v>
      </c>
      <c r="R81" s="32"/>
    </row>
    <row r="82" spans="1:18" ht="12">
      <c r="A82" s="86" t="s">
        <v>76</v>
      </c>
      <c r="B82" s="86"/>
      <c r="C82" s="86"/>
      <c r="D82" s="38">
        <v>7360.44</v>
      </c>
      <c r="E82" s="38">
        <v>2596.25</v>
      </c>
      <c r="F82" s="38">
        <v>975</v>
      </c>
      <c r="G82" s="38">
        <v>2552</v>
      </c>
      <c r="H82" s="38">
        <v>2664</v>
      </c>
      <c r="I82" s="38">
        <v>800</v>
      </c>
      <c r="J82" s="37">
        <v>840</v>
      </c>
      <c r="K82" s="38">
        <v>1577.5</v>
      </c>
      <c r="L82" s="38">
        <v>2219.25</v>
      </c>
      <c r="M82" s="38">
        <v>1821.66</v>
      </c>
      <c r="N82" s="38">
        <v>1041.6600000000001</v>
      </c>
      <c r="O82" s="37">
        <v>1929.36</v>
      </c>
      <c r="P82" s="37">
        <f t="shared" si="9"/>
        <v>26377.119999999999</v>
      </c>
      <c r="Q82" s="37">
        <f t="shared" si="10"/>
        <v>2198.0933333333332</v>
      </c>
      <c r="R82" s="32"/>
    </row>
    <row r="83" spans="1:18" ht="12">
      <c r="A83" s="85" t="s">
        <v>77</v>
      </c>
      <c r="B83" s="85"/>
      <c r="C83" s="85"/>
      <c r="D83" s="35">
        <v>1100</v>
      </c>
      <c r="E83" s="35">
        <v>1417.76</v>
      </c>
      <c r="F83" s="35">
        <v>2030.88</v>
      </c>
      <c r="G83" s="35">
        <v>2168.0300000000002</v>
      </c>
      <c r="H83" s="35">
        <v>1428.99</v>
      </c>
      <c r="I83" s="35">
        <v>1433.03</v>
      </c>
      <c r="J83" s="36">
        <v>1835.64</v>
      </c>
      <c r="K83" s="35">
        <v>1923.03</v>
      </c>
      <c r="L83" s="35">
        <v>7987.35</v>
      </c>
      <c r="M83" s="35">
        <v>3944.95</v>
      </c>
      <c r="N83" s="35">
        <v>2337.0300000000002</v>
      </c>
      <c r="O83" s="36">
        <v>1686.46</v>
      </c>
      <c r="P83" s="37">
        <f t="shared" si="9"/>
        <v>29293.149999999998</v>
      </c>
      <c r="Q83" s="37">
        <f t="shared" si="10"/>
        <v>2441.0958333333333</v>
      </c>
      <c r="R83" s="32"/>
    </row>
    <row r="84" spans="1:18" ht="12">
      <c r="A84" s="86" t="s">
        <v>78</v>
      </c>
      <c r="B84" s="86"/>
      <c r="C84" s="86"/>
      <c r="D84" s="38">
        <v>0</v>
      </c>
      <c r="E84" s="38">
        <v>0</v>
      </c>
      <c r="F84" s="38">
        <v>407.6</v>
      </c>
      <c r="G84" s="38">
        <v>240</v>
      </c>
      <c r="H84" s="38">
        <v>0</v>
      </c>
      <c r="I84" s="38">
        <v>74.900000000000006</v>
      </c>
      <c r="J84" s="37">
        <v>1200</v>
      </c>
      <c r="K84" s="38">
        <v>700</v>
      </c>
      <c r="L84" s="38">
        <v>110</v>
      </c>
      <c r="M84" s="38">
        <v>0</v>
      </c>
      <c r="N84" s="38">
        <v>0</v>
      </c>
      <c r="O84" s="37">
        <v>0</v>
      </c>
      <c r="P84" s="37">
        <f t="shared" si="9"/>
        <v>2732.5</v>
      </c>
      <c r="Q84" s="37">
        <f t="shared" si="10"/>
        <v>227.70833333333334</v>
      </c>
      <c r="R84" s="32"/>
    </row>
    <row r="85" spans="1:18" ht="12">
      <c r="A85" s="85" t="s">
        <v>79</v>
      </c>
      <c r="B85" s="85"/>
      <c r="C85" s="85"/>
      <c r="D85" s="35">
        <v>55.8</v>
      </c>
      <c r="E85" s="35">
        <v>300.8</v>
      </c>
      <c r="F85" s="35">
        <v>0</v>
      </c>
      <c r="G85" s="35">
        <v>743.35</v>
      </c>
      <c r="H85" s="35">
        <v>22.21</v>
      </c>
      <c r="I85" s="35">
        <v>0</v>
      </c>
      <c r="J85" s="36">
        <v>3604</v>
      </c>
      <c r="K85" s="35">
        <v>270</v>
      </c>
      <c r="L85" s="35">
        <v>481.48</v>
      </c>
      <c r="M85" s="35">
        <v>1871</v>
      </c>
      <c r="N85" s="35">
        <v>2009.9</v>
      </c>
      <c r="O85" s="36">
        <v>0</v>
      </c>
      <c r="P85" s="37">
        <f t="shared" si="9"/>
        <v>9358.5399999999991</v>
      </c>
      <c r="Q85" s="37">
        <f t="shared" si="10"/>
        <v>779.87833333333322</v>
      </c>
      <c r="R85" s="32"/>
    </row>
    <row r="86" spans="1:18" ht="12">
      <c r="A86" s="86" t="s">
        <v>80</v>
      </c>
      <c r="B86" s="86"/>
      <c r="C86" s="86"/>
      <c r="D86" s="38">
        <v>0</v>
      </c>
      <c r="E86" s="38">
        <v>0</v>
      </c>
      <c r="F86" s="38">
        <v>7000</v>
      </c>
      <c r="G86" s="38">
        <v>1579</v>
      </c>
      <c r="H86" s="38">
        <v>0</v>
      </c>
      <c r="I86" s="38">
        <v>0</v>
      </c>
      <c r="J86" s="37">
        <v>0</v>
      </c>
      <c r="K86" s="38">
        <v>0</v>
      </c>
      <c r="L86" s="38">
        <v>252</v>
      </c>
      <c r="M86" s="38">
        <v>0</v>
      </c>
      <c r="N86" s="38">
        <v>0</v>
      </c>
      <c r="O86" s="37">
        <v>0</v>
      </c>
      <c r="P86" s="37">
        <f t="shared" si="9"/>
        <v>8831</v>
      </c>
      <c r="Q86" s="37">
        <f t="shared" si="10"/>
        <v>735.91666666666663</v>
      </c>
      <c r="R86" s="32"/>
    </row>
    <row r="87" spans="1:18" ht="12">
      <c r="A87" s="85" t="s">
        <v>81</v>
      </c>
      <c r="B87" s="85"/>
      <c r="C87" s="85"/>
      <c r="D87" s="35">
        <v>0</v>
      </c>
      <c r="E87" s="35">
        <v>0</v>
      </c>
      <c r="F87" s="35">
        <v>0</v>
      </c>
      <c r="G87" s="35">
        <v>0</v>
      </c>
      <c r="H87" s="35">
        <v>663.95</v>
      </c>
      <c r="I87" s="35">
        <v>70.13</v>
      </c>
      <c r="J87" s="36">
        <v>362.05</v>
      </c>
      <c r="K87" s="35">
        <v>0</v>
      </c>
      <c r="L87" s="35">
        <v>0</v>
      </c>
      <c r="M87" s="35">
        <v>0</v>
      </c>
      <c r="N87" s="35">
        <v>0</v>
      </c>
      <c r="O87" s="36">
        <v>0</v>
      </c>
      <c r="P87" s="37">
        <f t="shared" si="9"/>
        <v>1096.1300000000001</v>
      </c>
      <c r="Q87" s="37">
        <f t="shared" si="10"/>
        <v>91.34416666666668</v>
      </c>
      <c r="R87" s="32"/>
    </row>
    <row r="88" spans="1:18" ht="12">
      <c r="A88" s="87" t="s">
        <v>82</v>
      </c>
      <c r="B88" s="87"/>
      <c r="C88" s="87"/>
      <c r="D88" s="40">
        <f>SUM(D89:D91)</f>
        <v>15437.5</v>
      </c>
      <c r="E88" s="40">
        <f t="shared" ref="E88:O88" si="12">SUM(E89:E91)</f>
        <v>14100.3</v>
      </c>
      <c r="F88" s="40">
        <f t="shared" si="12"/>
        <v>12599.150000000001</v>
      </c>
      <c r="G88" s="40">
        <f t="shared" si="12"/>
        <v>15161.5</v>
      </c>
      <c r="H88" s="40">
        <f t="shared" si="12"/>
        <v>6115</v>
      </c>
      <c r="I88" s="40">
        <f t="shared" si="12"/>
        <v>9622</v>
      </c>
      <c r="J88" s="40">
        <f t="shared" si="12"/>
        <v>6726</v>
      </c>
      <c r="K88" s="40">
        <f t="shared" si="12"/>
        <v>7852.67</v>
      </c>
      <c r="L88" s="40">
        <f t="shared" si="12"/>
        <v>3824.67</v>
      </c>
      <c r="M88" s="40">
        <f t="shared" si="12"/>
        <v>6750.66</v>
      </c>
      <c r="N88" s="40">
        <f t="shared" si="12"/>
        <v>680</v>
      </c>
      <c r="O88" s="40">
        <f t="shared" si="12"/>
        <v>1759.9</v>
      </c>
      <c r="P88" s="37">
        <f t="shared" si="9"/>
        <v>100629.34999999999</v>
      </c>
      <c r="Q88" s="37">
        <f t="shared" si="10"/>
        <v>8385.7791666666653</v>
      </c>
      <c r="R88" s="32"/>
    </row>
    <row r="89" spans="1:18" ht="12">
      <c r="A89" s="85" t="s">
        <v>83</v>
      </c>
      <c r="B89" s="85"/>
      <c r="C89" s="85"/>
      <c r="D89" s="35">
        <v>5780.5</v>
      </c>
      <c r="E89" s="35">
        <v>5780.5</v>
      </c>
      <c r="F89" s="35">
        <v>5110</v>
      </c>
      <c r="G89" s="35">
        <v>7605</v>
      </c>
      <c r="H89" s="35">
        <v>6115</v>
      </c>
      <c r="I89" s="35">
        <v>5700</v>
      </c>
      <c r="J89" s="36">
        <v>3276</v>
      </c>
      <c r="K89" s="35">
        <v>4800</v>
      </c>
      <c r="L89" s="35">
        <v>1140</v>
      </c>
      <c r="M89" s="35">
        <v>4894</v>
      </c>
      <c r="N89" s="35">
        <v>0</v>
      </c>
      <c r="O89" s="36">
        <v>0</v>
      </c>
      <c r="P89" s="37">
        <f t="shared" si="9"/>
        <v>50201</v>
      </c>
      <c r="Q89" s="37">
        <f t="shared" si="10"/>
        <v>4183.416666666667</v>
      </c>
      <c r="R89" s="32"/>
    </row>
    <row r="90" spans="1:18" ht="12">
      <c r="A90" s="86" t="s">
        <v>84</v>
      </c>
      <c r="B90" s="86"/>
      <c r="C90" s="86"/>
      <c r="D90" s="38">
        <v>7041</v>
      </c>
      <c r="E90" s="38">
        <v>4361.8</v>
      </c>
      <c r="F90" s="38">
        <v>5047.95</v>
      </c>
      <c r="G90" s="38">
        <v>6706.5</v>
      </c>
      <c r="H90" s="38">
        <v>0</v>
      </c>
      <c r="I90" s="38">
        <v>2012</v>
      </c>
      <c r="J90" s="37">
        <v>580</v>
      </c>
      <c r="K90" s="38">
        <v>1784.67</v>
      </c>
      <c r="L90" s="38">
        <v>2684.67</v>
      </c>
      <c r="M90" s="38">
        <v>1856.66</v>
      </c>
      <c r="N90" s="38">
        <v>0</v>
      </c>
      <c r="O90" s="37">
        <v>1209.9000000000001</v>
      </c>
      <c r="P90" s="37">
        <f t="shared" si="9"/>
        <v>33285.149999999994</v>
      </c>
      <c r="Q90" s="37">
        <f t="shared" si="10"/>
        <v>2773.7624999999994</v>
      </c>
      <c r="R90" s="32"/>
    </row>
    <row r="91" spans="1:18" ht="12">
      <c r="A91" s="85" t="s">
        <v>85</v>
      </c>
      <c r="B91" s="85"/>
      <c r="C91" s="85"/>
      <c r="D91" s="35">
        <v>2616</v>
      </c>
      <c r="E91" s="35">
        <v>3958</v>
      </c>
      <c r="F91" s="35">
        <v>2441.1999999999998</v>
      </c>
      <c r="G91" s="35">
        <v>850</v>
      </c>
      <c r="H91" s="35">
        <v>0</v>
      </c>
      <c r="I91" s="35">
        <v>1910</v>
      </c>
      <c r="J91" s="36">
        <v>2870</v>
      </c>
      <c r="K91" s="35">
        <v>1268</v>
      </c>
      <c r="L91" s="35">
        <v>0</v>
      </c>
      <c r="M91" s="35">
        <v>0</v>
      </c>
      <c r="N91" s="35">
        <v>680</v>
      </c>
      <c r="O91" s="36">
        <v>550</v>
      </c>
      <c r="P91" s="37">
        <f t="shared" si="9"/>
        <v>17143.2</v>
      </c>
      <c r="Q91" s="37">
        <f t="shared" si="10"/>
        <v>1428.6000000000001</v>
      </c>
      <c r="R91" s="32"/>
    </row>
    <row r="92" spans="1:18" ht="12">
      <c r="A92" s="87" t="s">
        <v>86</v>
      </c>
      <c r="B92" s="87"/>
      <c r="C92" s="87"/>
      <c r="D92" s="40">
        <f>SUM(D93:D97)</f>
        <v>7579.1</v>
      </c>
      <c r="E92" s="40">
        <f t="shared" ref="E92:O92" si="13">SUM(E93:E97)</f>
        <v>4084.08</v>
      </c>
      <c r="F92" s="40">
        <f t="shared" si="13"/>
        <v>7755.92</v>
      </c>
      <c r="G92" s="40">
        <f t="shared" si="13"/>
        <v>10524.61</v>
      </c>
      <c r="H92" s="40">
        <f t="shared" si="13"/>
        <v>4403.33</v>
      </c>
      <c r="I92" s="40">
        <f t="shared" si="13"/>
        <v>2085.66</v>
      </c>
      <c r="J92" s="40">
        <f t="shared" si="13"/>
        <v>3335.2799999999997</v>
      </c>
      <c r="K92" s="40">
        <f t="shared" si="13"/>
        <v>11189.36</v>
      </c>
      <c r="L92" s="40">
        <f t="shared" si="13"/>
        <v>8405.36</v>
      </c>
      <c r="M92" s="40">
        <f t="shared" si="13"/>
        <v>2998.01</v>
      </c>
      <c r="N92" s="40">
        <f t="shared" si="13"/>
        <v>5061.46</v>
      </c>
      <c r="O92" s="40">
        <f t="shared" si="13"/>
        <v>3320.87</v>
      </c>
      <c r="P92" s="37">
        <f t="shared" si="9"/>
        <v>70743.039999999994</v>
      </c>
      <c r="Q92" s="37">
        <f t="shared" si="10"/>
        <v>5895.2533333333331</v>
      </c>
      <c r="R92" s="32"/>
    </row>
    <row r="93" spans="1:18" ht="12">
      <c r="A93" s="85" t="s">
        <v>87</v>
      </c>
      <c r="B93" s="85"/>
      <c r="C93" s="85"/>
      <c r="D93" s="35">
        <v>870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6">
        <v>0</v>
      </c>
      <c r="K93" s="35">
        <v>0</v>
      </c>
      <c r="L93" s="35">
        <v>0</v>
      </c>
      <c r="M93" s="35">
        <v>0</v>
      </c>
      <c r="N93" s="35">
        <v>105</v>
      </c>
      <c r="O93" s="36">
        <v>0</v>
      </c>
      <c r="P93" s="37">
        <f t="shared" si="9"/>
        <v>975</v>
      </c>
      <c r="Q93" s="37">
        <f t="shared" si="10"/>
        <v>81.25</v>
      </c>
      <c r="R93" s="32"/>
    </row>
    <row r="94" spans="1:18" ht="12">
      <c r="A94" s="86" t="s">
        <v>88</v>
      </c>
      <c r="B94" s="86"/>
      <c r="C94" s="86"/>
      <c r="D94" s="38">
        <v>720</v>
      </c>
      <c r="E94" s="38">
        <v>656.64</v>
      </c>
      <c r="F94" s="38">
        <v>783.36</v>
      </c>
      <c r="G94" s="38">
        <v>1310</v>
      </c>
      <c r="H94" s="38">
        <v>656.64</v>
      </c>
      <c r="I94" s="38">
        <v>783.36</v>
      </c>
      <c r="J94" s="37">
        <v>1735.28</v>
      </c>
      <c r="K94" s="38">
        <v>1507.36</v>
      </c>
      <c r="L94" s="38">
        <v>1537.36</v>
      </c>
      <c r="M94" s="38">
        <v>750</v>
      </c>
      <c r="N94" s="38">
        <v>684</v>
      </c>
      <c r="O94" s="37">
        <v>816</v>
      </c>
      <c r="P94" s="37">
        <f t="shared" si="9"/>
        <v>11940</v>
      </c>
      <c r="Q94" s="37">
        <f t="shared" si="10"/>
        <v>995</v>
      </c>
      <c r="R94" s="32"/>
    </row>
    <row r="95" spans="1:18" ht="12">
      <c r="A95" s="85" t="s">
        <v>89</v>
      </c>
      <c r="B95" s="85"/>
      <c r="C95" s="85"/>
      <c r="D95" s="35">
        <v>2300</v>
      </c>
      <c r="E95" s="35">
        <v>522</v>
      </c>
      <c r="F95" s="35">
        <v>428</v>
      </c>
      <c r="G95" s="35">
        <v>861.91</v>
      </c>
      <c r="H95" s="35">
        <v>448.99</v>
      </c>
      <c r="I95" s="35">
        <v>0</v>
      </c>
      <c r="J95" s="36">
        <v>400</v>
      </c>
      <c r="K95" s="35">
        <v>882</v>
      </c>
      <c r="L95" s="35">
        <v>168</v>
      </c>
      <c r="M95" s="35">
        <v>650.01</v>
      </c>
      <c r="N95" s="35">
        <v>882.76</v>
      </c>
      <c r="O95" s="36">
        <v>494.57</v>
      </c>
      <c r="P95" s="37">
        <f t="shared" si="9"/>
        <v>8038.24</v>
      </c>
      <c r="Q95" s="37">
        <f t="shared" si="10"/>
        <v>669.85333333333335</v>
      </c>
      <c r="R95" s="32"/>
    </row>
    <row r="96" spans="1:18" ht="12">
      <c r="A96" s="86" t="s">
        <v>90</v>
      </c>
      <c r="B96" s="86"/>
      <c r="C96" s="86"/>
      <c r="D96" s="38">
        <v>1409.1</v>
      </c>
      <c r="E96" s="38">
        <v>505.44</v>
      </c>
      <c r="F96" s="38">
        <v>5344.56</v>
      </c>
      <c r="G96" s="38">
        <v>5872.7</v>
      </c>
      <c r="H96" s="38">
        <v>2097.6999999999998</v>
      </c>
      <c r="I96" s="38">
        <v>102.3</v>
      </c>
      <c r="J96" s="37">
        <v>0</v>
      </c>
      <c r="K96" s="38">
        <v>7600</v>
      </c>
      <c r="L96" s="38">
        <v>5500</v>
      </c>
      <c r="M96" s="38">
        <v>398</v>
      </c>
      <c r="N96" s="38">
        <v>1789.7</v>
      </c>
      <c r="O96" s="37">
        <v>410.3</v>
      </c>
      <c r="P96" s="37">
        <f t="shared" si="9"/>
        <v>31029.8</v>
      </c>
      <c r="Q96" s="37">
        <f t="shared" si="10"/>
        <v>2585.8166666666666</v>
      </c>
      <c r="R96" s="32"/>
    </row>
    <row r="97" spans="1:18" ht="12">
      <c r="A97" s="85" t="s">
        <v>91</v>
      </c>
      <c r="B97" s="85"/>
      <c r="C97" s="85"/>
      <c r="D97" s="35">
        <v>2280</v>
      </c>
      <c r="E97" s="35">
        <v>2400</v>
      </c>
      <c r="F97" s="35">
        <v>1200</v>
      </c>
      <c r="G97" s="35">
        <v>2480</v>
      </c>
      <c r="H97" s="35">
        <v>1200</v>
      </c>
      <c r="I97" s="35">
        <v>1200</v>
      </c>
      <c r="J97" s="36">
        <v>1200</v>
      </c>
      <c r="K97" s="35">
        <v>1200</v>
      </c>
      <c r="L97" s="35">
        <v>1200</v>
      </c>
      <c r="M97" s="35">
        <v>1200</v>
      </c>
      <c r="N97" s="35">
        <v>1600</v>
      </c>
      <c r="O97" s="36">
        <v>1600</v>
      </c>
      <c r="P97" s="37">
        <f t="shared" si="9"/>
        <v>18760</v>
      </c>
      <c r="Q97" s="37">
        <f t="shared" si="10"/>
        <v>1563.3333333333333</v>
      </c>
      <c r="R97" s="32"/>
    </row>
    <row r="98" spans="1:18" ht="12">
      <c r="A98" s="87" t="s">
        <v>92</v>
      </c>
      <c r="B98" s="87"/>
      <c r="C98" s="87"/>
      <c r="D98" s="40">
        <f>SUM(D99:D107)</f>
        <v>70873.11</v>
      </c>
      <c r="E98" s="40">
        <f t="shared" ref="E98:O98" si="14">SUM(E99:E107)</f>
        <v>66786.33</v>
      </c>
      <c r="F98" s="40">
        <f t="shared" si="14"/>
        <v>63638.83</v>
      </c>
      <c r="G98" s="40">
        <f t="shared" si="14"/>
        <v>60444.29</v>
      </c>
      <c r="H98" s="40">
        <f t="shared" si="14"/>
        <v>79631.73000000001</v>
      </c>
      <c r="I98" s="40">
        <f t="shared" si="14"/>
        <v>76850.959999999992</v>
      </c>
      <c r="J98" s="40">
        <f t="shared" si="14"/>
        <v>80703.5</v>
      </c>
      <c r="K98" s="40">
        <f t="shared" si="14"/>
        <v>83030.350000000006</v>
      </c>
      <c r="L98" s="40">
        <f t="shared" si="14"/>
        <v>82637.100000000006</v>
      </c>
      <c r="M98" s="40">
        <f t="shared" si="14"/>
        <v>82681.320000000007</v>
      </c>
      <c r="N98" s="40">
        <f t="shared" si="14"/>
        <v>84157.11</v>
      </c>
      <c r="O98" s="40">
        <f t="shared" si="14"/>
        <v>76023.850000000006</v>
      </c>
      <c r="P98" s="37">
        <f t="shared" si="9"/>
        <v>907458.48</v>
      </c>
      <c r="Q98" s="37">
        <f t="shared" si="10"/>
        <v>75621.539999999994</v>
      </c>
      <c r="R98" s="32"/>
    </row>
    <row r="99" spans="1:18" ht="12">
      <c r="A99" s="85" t="s">
        <v>93</v>
      </c>
      <c r="B99" s="85"/>
      <c r="C99" s="85"/>
      <c r="D99" s="35">
        <v>3940</v>
      </c>
      <c r="E99" s="35">
        <v>1970</v>
      </c>
      <c r="F99" s="35">
        <v>0</v>
      </c>
      <c r="G99" s="35">
        <v>0</v>
      </c>
      <c r="H99" s="35">
        <v>6380</v>
      </c>
      <c r="I99" s="35">
        <v>2205</v>
      </c>
      <c r="J99" s="36">
        <v>2205</v>
      </c>
      <c r="K99" s="35">
        <v>2205</v>
      </c>
      <c r="L99" s="35">
        <v>2205</v>
      </c>
      <c r="M99" s="35">
        <v>5105.21</v>
      </c>
      <c r="N99" s="35">
        <v>2205</v>
      </c>
      <c r="O99" s="36">
        <v>2205</v>
      </c>
      <c r="P99" s="37">
        <f t="shared" si="9"/>
        <v>30625.21</v>
      </c>
      <c r="Q99" s="37">
        <f t="shared" si="10"/>
        <v>2552.1008333333334</v>
      </c>
      <c r="R99" s="32"/>
    </row>
    <row r="100" spans="1:18" ht="12">
      <c r="A100" s="86" t="s">
        <v>94</v>
      </c>
      <c r="B100" s="86"/>
      <c r="C100" s="86"/>
      <c r="D100" s="38">
        <v>2824</v>
      </c>
      <c r="E100" s="38">
        <v>3036</v>
      </c>
      <c r="F100" s="38">
        <v>3036</v>
      </c>
      <c r="G100" s="38">
        <v>3036</v>
      </c>
      <c r="H100" s="38">
        <v>3036</v>
      </c>
      <c r="I100" s="38">
        <v>3036</v>
      </c>
      <c r="J100" s="37">
        <v>3036</v>
      </c>
      <c r="K100" s="38">
        <v>3036</v>
      </c>
      <c r="L100" s="38">
        <v>3036</v>
      </c>
      <c r="M100" s="38">
        <v>3036</v>
      </c>
      <c r="N100" s="38">
        <v>3036</v>
      </c>
      <c r="O100" s="37">
        <v>3036</v>
      </c>
      <c r="P100" s="37">
        <f t="shared" si="9"/>
        <v>36220</v>
      </c>
      <c r="Q100" s="37">
        <f t="shared" si="10"/>
        <v>3018.3333333333335</v>
      </c>
      <c r="R100" s="32"/>
    </row>
    <row r="101" spans="1:18" ht="12">
      <c r="A101" s="85" t="s">
        <v>95</v>
      </c>
      <c r="B101" s="85"/>
      <c r="C101" s="85"/>
      <c r="D101" s="35">
        <v>4086.38</v>
      </c>
      <c r="E101" s="35">
        <v>3485.21</v>
      </c>
      <c r="F101" s="35">
        <v>2502.19</v>
      </c>
      <c r="G101" s="35">
        <v>2576.5300000000002</v>
      </c>
      <c r="H101" s="35">
        <v>2576.52</v>
      </c>
      <c r="I101" s="35">
        <v>3378.15</v>
      </c>
      <c r="J101" s="36">
        <v>2672</v>
      </c>
      <c r="K101" s="35">
        <v>3113</v>
      </c>
      <c r="L101" s="35">
        <v>2741</v>
      </c>
      <c r="M101" s="35">
        <v>2830</v>
      </c>
      <c r="N101" s="35">
        <v>3106</v>
      </c>
      <c r="O101" s="36">
        <v>4234.5</v>
      </c>
      <c r="P101" s="37">
        <f t="shared" si="9"/>
        <v>37301.480000000003</v>
      </c>
      <c r="Q101" s="37">
        <f t="shared" si="10"/>
        <v>3108.4566666666669</v>
      </c>
      <c r="R101" s="32"/>
    </row>
    <row r="102" spans="1:18" ht="12">
      <c r="A102" s="86" t="s">
        <v>96</v>
      </c>
      <c r="B102" s="86"/>
      <c r="C102" s="86"/>
      <c r="D102" s="38">
        <v>56426.23</v>
      </c>
      <c r="E102" s="38">
        <v>56448.62</v>
      </c>
      <c r="F102" s="38">
        <v>56448.62</v>
      </c>
      <c r="G102" s="38">
        <v>52531.76</v>
      </c>
      <c r="H102" s="38">
        <v>66256.210000000006</v>
      </c>
      <c r="I102" s="38">
        <v>65470.97</v>
      </c>
      <c r="J102" s="37">
        <v>61348.35</v>
      </c>
      <c r="K102" s="38">
        <v>61348.35</v>
      </c>
      <c r="L102" s="38">
        <v>61348.35</v>
      </c>
      <c r="M102" s="38">
        <v>61348.36</v>
      </c>
      <c r="N102" s="38">
        <v>61348.36</v>
      </c>
      <c r="O102" s="37">
        <v>61348.35</v>
      </c>
      <c r="P102" s="37">
        <f t="shared" si="9"/>
        <v>721672.52999999991</v>
      </c>
      <c r="Q102" s="37">
        <f t="shared" si="10"/>
        <v>60139.377499999995</v>
      </c>
      <c r="R102" s="32"/>
    </row>
    <row r="103" spans="1:18" ht="12">
      <c r="A103" s="85" t="s">
        <v>97</v>
      </c>
      <c r="B103" s="85"/>
      <c r="C103" s="85"/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6">
        <v>0</v>
      </c>
      <c r="K103" s="35">
        <v>4975</v>
      </c>
      <c r="L103" s="35">
        <v>600</v>
      </c>
      <c r="M103" s="35">
        <v>0</v>
      </c>
      <c r="N103" s="35">
        <v>4500</v>
      </c>
      <c r="O103" s="36">
        <v>0</v>
      </c>
      <c r="P103" s="37">
        <f t="shared" si="9"/>
        <v>10075</v>
      </c>
      <c r="Q103" s="37">
        <f t="shared" si="10"/>
        <v>839.58333333333337</v>
      </c>
      <c r="R103" s="32"/>
    </row>
    <row r="104" spans="1:18" ht="12">
      <c r="A104" s="86" t="s">
        <v>98</v>
      </c>
      <c r="B104" s="86"/>
      <c r="C104" s="86"/>
      <c r="D104" s="38">
        <v>2400</v>
      </c>
      <c r="E104" s="38">
        <v>650</v>
      </c>
      <c r="F104" s="38">
        <v>455.52</v>
      </c>
      <c r="G104" s="38">
        <v>300</v>
      </c>
      <c r="H104" s="38">
        <v>0</v>
      </c>
      <c r="I104" s="38">
        <v>2070.84</v>
      </c>
      <c r="J104" s="37">
        <v>714.4</v>
      </c>
      <c r="K104" s="38">
        <v>1500</v>
      </c>
      <c r="L104" s="38">
        <v>0</v>
      </c>
      <c r="M104" s="38">
        <v>400</v>
      </c>
      <c r="N104" s="38">
        <v>0</v>
      </c>
      <c r="O104" s="37">
        <v>400</v>
      </c>
      <c r="P104" s="37">
        <f t="shared" si="9"/>
        <v>8890.76</v>
      </c>
      <c r="Q104" s="37">
        <f t="shared" si="10"/>
        <v>740.89666666666665</v>
      </c>
      <c r="R104" s="32"/>
    </row>
    <row r="105" spans="1:18" ht="12">
      <c r="A105" s="85" t="s">
        <v>149</v>
      </c>
      <c r="B105" s="85"/>
      <c r="C105" s="85"/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690</v>
      </c>
      <c r="J105" s="36">
        <v>0</v>
      </c>
      <c r="K105" s="35">
        <v>0</v>
      </c>
      <c r="L105" s="35">
        <v>0</v>
      </c>
      <c r="M105" s="35">
        <v>0</v>
      </c>
      <c r="N105" s="35">
        <v>0</v>
      </c>
      <c r="O105" s="36">
        <v>0</v>
      </c>
      <c r="P105" s="37">
        <f t="shared" si="9"/>
        <v>690</v>
      </c>
      <c r="Q105" s="37">
        <f t="shared" si="10"/>
        <v>57.5</v>
      </c>
      <c r="R105" s="32"/>
    </row>
    <row r="106" spans="1:18" ht="12">
      <c r="A106" s="86" t="s">
        <v>99</v>
      </c>
      <c r="B106" s="86"/>
      <c r="C106" s="86"/>
      <c r="D106" s="38">
        <v>1196.5</v>
      </c>
      <c r="E106" s="38">
        <v>1196.5</v>
      </c>
      <c r="F106" s="38">
        <v>1196.5</v>
      </c>
      <c r="G106" s="38">
        <v>0</v>
      </c>
      <c r="H106" s="38">
        <v>1260</v>
      </c>
      <c r="I106" s="38">
        <v>0</v>
      </c>
      <c r="J106" s="37">
        <v>5566</v>
      </c>
      <c r="K106" s="38">
        <v>0</v>
      </c>
      <c r="L106" s="38">
        <v>7545</v>
      </c>
      <c r="M106" s="38">
        <v>4800</v>
      </c>
      <c r="N106" s="38">
        <v>4800</v>
      </c>
      <c r="O106" s="37">
        <v>4800</v>
      </c>
      <c r="P106" s="37">
        <f t="shared" si="9"/>
        <v>32360.5</v>
      </c>
      <c r="Q106" s="37">
        <f t="shared" si="10"/>
        <v>2696.7083333333335</v>
      </c>
      <c r="R106" s="32"/>
    </row>
    <row r="107" spans="1:18" ht="12">
      <c r="A107" s="85" t="s">
        <v>150</v>
      </c>
      <c r="B107" s="85"/>
      <c r="C107" s="85"/>
      <c r="D107" s="35">
        <v>0</v>
      </c>
      <c r="E107" s="35">
        <v>0</v>
      </c>
      <c r="F107" s="35">
        <v>0</v>
      </c>
      <c r="G107" s="35">
        <v>2000</v>
      </c>
      <c r="H107" s="35">
        <v>123</v>
      </c>
      <c r="I107" s="35">
        <v>0</v>
      </c>
      <c r="J107" s="36">
        <v>5161.75</v>
      </c>
      <c r="K107" s="35">
        <v>6853</v>
      </c>
      <c r="L107" s="35">
        <v>5161.75</v>
      </c>
      <c r="M107" s="35">
        <v>5161.75</v>
      </c>
      <c r="N107" s="35">
        <v>5161.75</v>
      </c>
      <c r="O107" s="36">
        <v>0</v>
      </c>
      <c r="P107" s="37">
        <f t="shared" si="9"/>
        <v>29623</v>
      </c>
      <c r="Q107" s="37">
        <f t="shared" si="10"/>
        <v>2468.5833333333335</v>
      </c>
      <c r="R107" s="32"/>
    </row>
    <row r="108" spans="1:18" ht="12">
      <c r="A108" s="87" t="s">
        <v>100</v>
      </c>
      <c r="B108" s="87"/>
      <c r="C108" s="87"/>
      <c r="D108" s="40">
        <f>SUM(D109:D120)</f>
        <v>15220.319999999998</v>
      </c>
      <c r="E108" s="40">
        <f t="shared" ref="E108:O108" si="15">SUM(E109:E120)</f>
        <v>20958.129999999997</v>
      </c>
      <c r="F108" s="40">
        <f t="shared" si="15"/>
        <v>20347.509999999998</v>
      </c>
      <c r="G108" s="40">
        <f t="shared" si="15"/>
        <v>9120.39</v>
      </c>
      <c r="H108" s="40">
        <f t="shared" si="15"/>
        <v>33528.810000000005</v>
      </c>
      <c r="I108" s="40">
        <f t="shared" si="15"/>
        <v>19894.530000000006</v>
      </c>
      <c r="J108" s="40">
        <f t="shared" si="15"/>
        <v>21707.89</v>
      </c>
      <c r="K108" s="40">
        <f t="shared" si="15"/>
        <v>21953.280000000002</v>
      </c>
      <c r="L108" s="40">
        <f t="shared" si="15"/>
        <v>15762.769999999999</v>
      </c>
      <c r="M108" s="40">
        <f t="shared" si="15"/>
        <v>19168.009999999998</v>
      </c>
      <c r="N108" s="40">
        <f t="shared" si="15"/>
        <v>21099.72</v>
      </c>
      <c r="O108" s="40">
        <f t="shared" si="15"/>
        <v>10310.220000000003</v>
      </c>
      <c r="P108" s="37">
        <f t="shared" si="9"/>
        <v>229071.58000000002</v>
      </c>
      <c r="Q108" s="37">
        <f t="shared" si="10"/>
        <v>19089.298333333336</v>
      </c>
      <c r="R108" s="32"/>
    </row>
    <row r="109" spans="1:18" ht="12">
      <c r="A109" s="85" t="s">
        <v>101</v>
      </c>
      <c r="B109" s="85"/>
      <c r="C109" s="85"/>
      <c r="D109" s="35">
        <v>10667.14</v>
      </c>
      <c r="E109" s="35">
        <v>13209.06</v>
      </c>
      <c r="F109" s="35">
        <v>12849.23</v>
      </c>
      <c r="G109" s="35">
        <v>0</v>
      </c>
      <c r="H109" s="35">
        <v>27242.880000000001</v>
      </c>
      <c r="I109" s="35">
        <v>11657.12</v>
      </c>
      <c r="J109" s="36">
        <v>10878.49</v>
      </c>
      <c r="K109" s="35">
        <v>11571.69</v>
      </c>
      <c r="L109" s="35">
        <v>9662.11</v>
      </c>
      <c r="M109" s="35">
        <v>10993.88</v>
      </c>
      <c r="N109" s="35">
        <v>10260.36</v>
      </c>
      <c r="O109" s="36">
        <v>3756.44</v>
      </c>
      <c r="P109" s="37">
        <f t="shared" si="9"/>
        <v>132748.4</v>
      </c>
      <c r="Q109" s="37">
        <f t="shared" si="10"/>
        <v>11062.366666666667</v>
      </c>
      <c r="R109" s="32"/>
    </row>
    <row r="110" spans="1:18" ht="12">
      <c r="A110" s="86" t="s">
        <v>102</v>
      </c>
      <c r="B110" s="86"/>
      <c r="C110" s="86"/>
      <c r="D110" s="38">
        <v>1783.48</v>
      </c>
      <c r="E110" s="38">
        <v>1452.5</v>
      </c>
      <c r="F110" s="38">
        <v>1975.9</v>
      </c>
      <c r="G110" s="38">
        <v>2087.1999999999998</v>
      </c>
      <c r="H110" s="38">
        <v>1044.81</v>
      </c>
      <c r="I110" s="38">
        <v>1938.19</v>
      </c>
      <c r="J110" s="37">
        <v>5458.9</v>
      </c>
      <c r="K110" s="38">
        <v>2819.8</v>
      </c>
      <c r="L110" s="38">
        <v>0</v>
      </c>
      <c r="M110" s="38">
        <v>3379.42</v>
      </c>
      <c r="N110" s="38">
        <v>2706.87</v>
      </c>
      <c r="O110" s="37">
        <v>1283</v>
      </c>
      <c r="P110" s="37">
        <f t="shared" si="9"/>
        <v>25930.069999999996</v>
      </c>
      <c r="Q110" s="37">
        <f t="shared" si="10"/>
        <v>2160.8391666666662</v>
      </c>
      <c r="R110" s="32"/>
    </row>
    <row r="111" spans="1:18" ht="12">
      <c r="A111" s="85" t="s">
        <v>103</v>
      </c>
      <c r="B111" s="85"/>
      <c r="C111" s="85"/>
      <c r="D111" s="35">
        <v>0</v>
      </c>
      <c r="E111" s="35">
        <v>0</v>
      </c>
      <c r="F111" s="35">
        <v>264.3</v>
      </c>
      <c r="G111" s="35">
        <v>61.55</v>
      </c>
      <c r="H111" s="35">
        <v>0</v>
      </c>
      <c r="I111" s="35">
        <v>1590</v>
      </c>
      <c r="J111" s="36">
        <v>816</v>
      </c>
      <c r="K111" s="35">
        <v>2210</v>
      </c>
      <c r="L111" s="35">
        <v>1480</v>
      </c>
      <c r="M111" s="35">
        <v>123.82</v>
      </c>
      <c r="N111" s="35">
        <v>1480</v>
      </c>
      <c r="O111" s="36">
        <v>0</v>
      </c>
      <c r="P111" s="37">
        <f t="shared" si="9"/>
        <v>8025.67</v>
      </c>
      <c r="Q111" s="37">
        <f t="shared" si="10"/>
        <v>668.80583333333334</v>
      </c>
      <c r="R111" s="32"/>
    </row>
    <row r="112" spans="1:18" ht="12">
      <c r="A112" s="86" t="s">
        <v>104</v>
      </c>
      <c r="B112" s="86"/>
      <c r="C112" s="86"/>
      <c r="D112" s="38">
        <v>162.30000000000001</v>
      </c>
      <c r="E112" s="38">
        <v>350.55</v>
      </c>
      <c r="F112" s="38">
        <v>188.25</v>
      </c>
      <c r="G112" s="38">
        <v>162.30000000000001</v>
      </c>
      <c r="H112" s="38">
        <v>162.30000000000001</v>
      </c>
      <c r="I112" s="38">
        <v>0</v>
      </c>
      <c r="J112" s="37">
        <v>0</v>
      </c>
      <c r="K112" s="38">
        <v>174.7</v>
      </c>
      <c r="L112" s="38">
        <v>187.8</v>
      </c>
      <c r="M112" s="38">
        <v>0</v>
      </c>
      <c r="N112" s="38">
        <v>0</v>
      </c>
      <c r="O112" s="37">
        <v>0</v>
      </c>
      <c r="P112" s="37">
        <f t="shared" si="9"/>
        <v>1388.2</v>
      </c>
      <c r="Q112" s="37">
        <f t="shared" si="10"/>
        <v>115.68333333333334</v>
      </c>
      <c r="R112" s="32"/>
    </row>
    <row r="113" spans="1:18" ht="12">
      <c r="A113" s="85" t="s">
        <v>105</v>
      </c>
      <c r="B113" s="85"/>
      <c r="C113" s="85"/>
      <c r="D113" s="35">
        <v>0</v>
      </c>
      <c r="E113" s="35">
        <v>2334.7199999999998</v>
      </c>
      <c r="F113" s="35">
        <v>2334.7199999999998</v>
      </c>
      <c r="G113" s="35">
        <v>2334.7199999999998</v>
      </c>
      <c r="H113" s="35">
        <v>2334.7199999999998</v>
      </c>
      <c r="I113" s="35">
        <v>2334.7199999999998</v>
      </c>
      <c r="J113" s="36">
        <v>2334.7199999999998</v>
      </c>
      <c r="K113" s="35">
        <v>2334.7199999999998</v>
      </c>
      <c r="L113" s="35">
        <v>2334.7199999999998</v>
      </c>
      <c r="M113" s="35">
        <v>2334.7199999999998</v>
      </c>
      <c r="N113" s="35">
        <v>2535.36</v>
      </c>
      <c r="O113" s="36">
        <v>2535.36</v>
      </c>
      <c r="P113" s="37">
        <f t="shared" si="9"/>
        <v>26083.200000000001</v>
      </c>
      <c r="Q113" s="37">
        <f t="shared" si="10"/>
        <v>2173.6</v>
      </c>
      <c r="R113" s="32"/>
    </row>
    <row r="114" spans="1:18" ht="12">
      <c r="A114" s="86" t="s">
        <v>106</v>
      </c>
      <c r="B114" s="86"/>
      <c r="C114" s="86"/>
      <c r="D114" s="38">
        <v>98.42</v>
      </c>
      <c r="E114" s="38">
        <v>100.57</v>
      </c>
      <c r="F114" s="38">
        <v>100.41</v>
      </c>
      <c r="G114" s="38">
        <v>100.41</v>
      </c>
      <c r="H114" s="38">
        <v>98.42</v>
      </c>
      <c r="I114" s="38">
        <v>0</v>
      </c>
      <c r="J114" s="37">
        <v>98.42</v>
      </c>
      <c r="K114" s="38">
        <v>98.42</v>
      </c>
      <c r="L114" s="38">
        <v>98.42</v>
      </c>
      <c r="M114" s="38">
        <v>98.42</v>
      </c>
      <c r="N114" s="38">
        <v>98.42</v>
      </c>
      <c r="O114" s="37">
        <v>88.3</v>
      </c>
      <c r="P114" s="37">
        <f t="shared" si="9"/>
        <v>1078.6299999999999</v>
      </c>
      <c r="Q114" s="37">
        <f t="shared" si="10"/>
        <v>89.885833333333323</v>
      </c>
      <c r="R114" s="32"/>
    </row>
    <row r="115" spans="1:18" ht="12">
      <c r="A115" s="85" t="s">
        <v>107</v>
      </c>
      <c r="B115" s="85"/>
      <c r="C115" s="85"/>
      <c r="D115" s="35">
        <v>199.99</v>
      </c>
      <c r="E115" s="35">
        <v>569.05999999999995</v>
      </c>
      <c r="F115" s="35">
        <v>180.28</v>
      </c>
      <c r="G115" s="35">
        <v>592.79999999999995</v>
      </c>
      <c r="H115" s="35">
        <v>394.15</v>
      </c>
      <c r="I115" s="35">
        <v>188.98</v>
      </c>
      <c r="J115" s="36">
        <v>298.91000000000003</v>
      </c>
      <c r="K115" s="35">
        <v>0</v>
      </c>
      <c r="L115" s="35">
        <v>199.99</v>
      </c>
      <c r="M115" s="35">
        <v>189.21</v>
      </c>
      <c r="N115" s="35">
        <v>422.07</v>
      </c>
      <c r="O115" s="36">
        <v>84.81</v>
      </c>
      <c r="P115" s="37">
        <f t="shared" si="9"/>
        <v>3320.25</v>
      </c>
      <c r="Q115" s="37">
        <f t="shared" si="10"/>
        <v>276.6875</v>
      </c>
      <c r="R115" s="32"/>
    </row>
    <row r="116" spans="1:18" ht="12">
      <c r="A116" s="86" t="s">
        <v>108</v>
      </c>
      <c r="B116" s="86"/>
      <c r="C116" s="86"/>
      <c r="D116" s="38">
        <v>0</v>
      </c>
      <c r="E116" s="38">
        <v>122.69</v>
      </c>
      <c r="F116" s="38">
        <v>245.38</v>
      </c>
      <c r="G116" s="38">
        <v>9.1300000000000008</v>
      </c>
      <c r="H116" s="38">
        <v>122.69</v>
      </c>
      <c r="I116" s="38">
        <v>134.31</v>
      </c>
      <c r="J116" s="37">
        <v>0</v>
      </c>
      <c r="K116" s="38">
        <v>320.91000000000003</v>
      </c>
      <c r="L116" s="38">
        <v>134.08000000000001</v>
      </c>
      <c r="M116" s="38">
        <v>134.84</v>
      </c>
      <c r="N116" s="38">
        <v>134.84</v>
      </c>
      <c r="O116" s="37">
        <v>134.84</v>
      </c>
      <c r="P116" s="37">
        <f t="shared" si="9"/>
        <v>1493.7099999999998</v>
      </c>
      <c r="Q116" s="37">
        <f t="shared" si="10"/>
        <v>124.47583333333331</v>
      </c>
      <c r="R116" s="32"/>
    </row>
    <row r="117" spans="1:18" ht="12">
      <c r="A117" s="85" t="s">
        <v>109</v>
      </c>
      <c r="B117" s="85"/>
      <c r="C117" s="85"/>
      <c r="D117" s="35">
        <v>96.89</v>
      </c>
      <c r="E117" s="35">
        <v>96.89</v>
      </c>
      <c r="F117" s="35">
        <v>96.89</v>
      </c>
      <c r="G117" s="35">
        <v>96.89</v>
      </c>
      <c r="H117" s="35">
        <v>0</v>
      </c>
      <c r="I117" s="35">
        <v>526.99</v>
      </c>
      <c r="J117" s="36">
        <v>131.82</v>
      </c>
      <c r="K117" s="35">
        <v>337.29</v>
      </c>
      <c r="L117" s="35">
        <v>92.83</v>
      </c>
      <c r="M117" s="35">
        <v>297.3</v>
      </c>
      <c r="N117" s="35">
        <v>199.99</v>
      </c>
      <c r="O117" s="36">
        <v>295.63</v>
      </c>
      <c r="P117" s="37">
        <f t="shared" si="9"/>
        <v>2269.41</v>
      </c>
      <c r="Q117" s="37">
        <f t="shared" si="10"/>
        <v>189.11749999999998</v>
      </c>
      <c r="R117" s="32"/>
    </row>
    <row r="118" spans="1:18" ht="12">
      <c r="A118" s="86" t="s">
        <v>110</v>
      </c>
      <c r="B118" s="86"/>
      <c r="C118" s="86"/>
      <c r="D118" s="38">
        <v>34.9</v>
      </c>
      <c r="E118" s="38">
        <v>34.9</v>
      </c>
      <c r="F118" s="38">
        <v>34.9</v>
      </c>
      <c r="G118" s="38">
        <v>34.9</v>
      </c>
      <c r="H118" s="38">
        <v>34.9</v>
      </c>
      <c r="I118" s="38">
        <v>0</v>
      </c>
      <c r="J118" s="37">
        <v>34.9</v>
      </c>
      <c r="K118" s="38">
        <v>34.9</v>
      </c>
      <c r="L118" s="38">
        <v>34.9</v>
      </c>
      <c r="M118" s="38">
        <v>34.9</v>
      </c>
      <c r="N118" s="38">
        <v>34.9</v>
      </c>
      <c r="O118" s="37">
        <v>34.9</v>
      </c>
      <c r="P118" s="37">
        <f t="shared" si="9"/>
        <v>383.89999999999992</v>
      </c>
      <c r="Q118" s="37">
        <f t="shared" si="10"/>
        <v>31.99166666666666</v>
      </c>
      <c r="R118" s="32"/>
    </row>
    <row r="119" spans="1:18" ht="12">
      <c r="A119" s="85" t="s">
        <v>111</v>
      </c>
      <c r="B119" s="85"/>
      <c r="C119" s="85"/>
      <c r="D119" s="35">
        <v>730</v>
      </c>
      <c r="E119" s="35">
        <v>0</v>
      </c>
      <c r="F119" s="35">
        <v>0</v>
      </c>
      <c r="G119" s="35">
        <v>855</v>
      </c>
      <c r="H119" s="35">
        <v>0</v>
      </c>
      <c r="I119" s="35">
        <v>0</v>
      </c>
      <c r="J119" s="36">
        <v>0</v>
      </c>
      <c r="K119" s="35">
        <v>855</v>
      </c>
      <c r="L119" s="35">
        <v>0</v>
      </c>
      <c r="M119" s="35">
        <v>0</v>
      </c>
      <c r="N119" s="35">
        <v>855</v>
      </c>
      <c r="O119" s="36">
        <v>0</v>
      </c>
      <c r="P119" s="37">
        <f t="shared" si="9"/>
        <v>3295</v>
      </c>
      <c r="Q119" s="37">
        <f t="shared" si="10"/>
        <v>274.58333333333331</v>
      </c>
      <c r="R119" s="32"/>
    </row>
    <row r="120" spans="1:18" ht="12">
      <c r="A120" s="86" t="s">
        <v>112</v>
      </c>
      <c r="B120" s="86"/>
      <c r="C120" s="86"/>
      <c r="D120" s="38">
        <v>1447.2</v>
      </c>
      <c r="E120" s="38">
        <v>2687.19</v>
      </c>
      <c r="F120" s="38">
        <v>2077.25</v>
      </c>
      <c r="G120" s="38">
        <v>2785.49</v>
      </c>
      <c r="H120" s="38">
        <v>2093.94</v>
      </c>
      <c r="I120" s="38">
        <v>1524.22</v>
      </c>
      <c r="J120" s="37">
        <v>1655.73</v>
      </c>
      <c r="K120" s="38">
        <v>1195.8499999999999</v>
      </c>
      <c r="L120" s="38">
        <v>1537.92</v>
      </c>
      <c r="M120" s="38">
        <v>1581.5</v>
      </c>
      <c r="N120" s="38">
        <v>2371.91</v>
      </c>
      <c r="O120" s="37">
        <v>2096.94</v>
      </c>
      <c r="P120" s="37">
        <f t="shared" si="9"/>
        <v>23055.14</v>
      </c>
      <c r="Q120" s="37">
        <f t="shared" si="10"/>
        <v>1921.2616666666665</v>
      </c>
      <c r="R120" s="32"/>
    </row>
    <row r="121" spans="1:18" ht="12">
      <c r="A121" s="89" t="s">
        <v>151</v>
      </c>
      <c r="B121" s="89"/>
      <c r="C121" s="89"/>
      <c r="D121" s="41">
        <f>SUM(D122:D139)</f>
        <v>24167.069999999996</v>
      </c>
      <c r="E121" s="41">
        <f t="shared" ref="E121:O121" si="16">SUM(E122:E139)</f>
        <v>18528.18</v>
      </c>
      <c r="F121" s="41">
        <f t="shared" si="16"/>
        <v>23291.600000000002</v>
      </c>
      <c r="G121" s="41">
        <f t="shared" si="16"/>
        <v>23496.75</v>
      </c>
      <c r="H121" s="41">
        <f t="shared" si="16"/>
        <v>19647.53</v>
      </c>
      <c r="I121" s="41">
        <f t="shared" si="16"/>
        <v>31048.769999999997</v>
      </c>
      <c r="J121" s="41">
        <f t="shared" si="16"/>
        <v>186077.81</v>
      </c>
      <c r="K121" s="41">
        <f t="shared" si="16"/>
        <v>80753.679999999993</v>
      </c>
      <c r="L121" s="41">
        <f t="shared" si="16"/>
        <v>98551.89</v>
      </c>
      <c r="M121" s="41">
        <f t="shared" si="16"/>
        <v>184794.62</v>
      </c>
      <c r="N121" s="41">
        <f t="shared" si="16"/>
        <v>141369.07</v>
      </c>
      <c r="O121" s="41">
        <f t="shared" si="16"/>
        <v>48735.5</v>
      </c>
      <c r="P121" s="37">
        <f t="shared" si="9"/>
        <v>880462.47</v>
      </c>
      <c r="Q121" s="37">
        <f t="shared" si="10"/>
        <v>73371.872499999998</v>
      </c>
      <c r="R121" s="32"/>
    </row>
    <row r="122" spans="1:18" ht="12">
      <c r="A122" s="86" t="s">
        <v>152</v>
      </c>
      <c r="B122" s="86"/>
      <c r="C122" s="86"/>
      <c r="D122" s="38">
        <v>142.21</v>
      </c>
      <c r="E122" s="38">
        <v>142.21</v>
      </c>
      <c r="F122" s="38">
        <v>5301.21</v>
      </c>
      <c r="G122" s="38">
        <v>5983.21</v>
      </c>
      <c r="H122" s="38">
        <v>1587.21</v>
      </c>
      <c r="I122" s="38">
        <v>1587.19</v>
      </c>
      <c r="J122" s="37">
        <v>1445</v>
      </c>
      <c r="K122" s="38">
        <v>768.33</v>
      </c>
      <c r="L122" s="38">
        <v>0</v>
      </c>
      <c r="M122" s="38">
        <v>930</v>
      </c>
      <c r="N122" s="38">
        <v>560</v>
      </c>
      <c r="O122" s="37">
        <v>2400</v>
      </c>
      <c r="P122" s="37">
        <f t="shared" si="9"/>
        <v>20846.57</v>
      </c>
      <c r="Q122" s="37">
        <f t="shared" si="10"/>
        <v>1737.2141666666666</v>
      </c>
      <c r="R122" s="32"/>
    </row>
    <row r="123" spans="1:18" ht="12">
      <c r="A123" s="85" t="s">
        <v>153</v>
      </c>
      <c r="B123" s="85"/>
      <c r="C123" s="85"/>
      <c r="D123" s="35">
        <v>0</v>
      </c>
      <c r="E123" s="35">
        <v>0</v>
      </c>
      <c r="F123" s="35">
        <v>550</v>
      </c>
      <c r="G123" s="35">
        <v>362.06</v>
      </c>
      <c r="H123" s="35">
        <v>0</v>
      </c>
      <c r="I123" s="35">
        <v>0</v>
      </c>
      <c r="J123" s="36">
        <v>0</v>
      </c>
      <c r="K123" s="35">
        <v>0</v>
      </c>
      <c r="L123" s="35">
        <v>552.24</v>
      </c>
      <c r="M123" s="35">
        <v>139.97</v>
      </c>
      <c r="N123" s="35">
        <v>0</v>
      </c>
      <c r="O123" s="36">
        <v>1597.46</v>
      </c>
      <c r="P123" s="37">
        <f t="shared" si="9"/>
        <v>3201.73</v>
      </c>
      <c r="Q123" s="37">
        <f t="shared" si="10"/>
        <v>266.81083333333333</v>
      </c>
      <c r="R123" s="32"/>
    </row>
    <row r="124" spans="1:18" ht="12">
      <c r="A124" s="86" t="s">
        <v>154</v>
      </c>
      <c r="B124" s="86"/>
      <c r="C124" s="86"/>
      <c r="D124" s="38">
        <v>0</v>
      </c>
      <c r="E124" s="38">
        <v>0</v>
      </c>
      <c r="F124" s="38">
        <v>0</v>
      </c>
      <c r="G124" s="38">
        <v>0</v>
      </c>
      <c r="H124" s="38">
        <v>0</v>
      </c>
      <c r="I124" s="38">
        <v>0</v>
      </c>
      <c r="J124" s="37">
        <v>0</v>
      </c>
      <c r="K124" s="38">
        <v>0</v>
      </c>
      <c r="L124" s="38">
        <v>100</v>
      </c>
      <c r="M124" s="38">
        <v>0</v>
      </c>
      <c r="N124" s="38">
        <v>0</v>
      </c>
      <c r="O124" s="37">
        <v>0</v>
      </c>
      <c r="P124" s="37">
        <f t="shared" si="9"/>
        <v>100</v>
      </c>
      <c r="Q124" s="37">
        <f t="shared" si="10"/>
        <v>8.3333333333333339</v>
      </c>
      <c r="R124" s="32"/>
    </row>
    <row r="125" spans="1:18" ht="12">
      <c r="A125" s="85" t="s">
        <v>155</v>
      </c>
      <c r="B125" s="85"/>
      <c r="C125" s="85"/>
      <c r="D125" s="35">
        <v>0</v>
      </c>
      <c r="E125" s="35">
        <v>0</v>
      </c>
      <c r="F125" s="35">
        <v>0</v>
      </c>
      <c r="G125" s="35">
        <v>1925</v>
      </c>
      <c r="H125" s="35">
        <v>0</v>
      </c>
      <c r="I125" s="35">
        <v>0</v>
      </c>
      <c r="J125" s="36">
        <v>0</v>
      </c>
      <c r="K125" s="35">
        <v>320.75</v>
      </c>
      <c r="L125" s="35">
        <v>0</v>
      </c>
      <c r="M125" s="35">
        <v>0</v>
      </c>
      <c r="N125" s="35">
        <v>0</v>
      </c>
      <c r="O125" s="36">
        <v>0</v>
      </c>
      <c r="P125" s="37">
        <f t="shared" si="9"/>
        <v>2245.75</v>
      </c>
      <c r="Q125" s="37">
        <f t="shared" si="10"/>
        <v>187.14583333333334</v>
      </c>
      <c r="R125" s="32"/>
    </row>
    <row r="126" spans="1:18" ht="12">
      <c r="A126" s="86" t="s">
        <v>156</v>
      </c>
      <c r="B126" s="86"/>
      <c r="C126" s="86"/>
      <c r="D126" s="38">
        <v>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7">
        <v>632.5</v>
      </c>
      <c r="K126" s="38">
        <v>0</v>
      </c>
      <c r="L126" s="38">
        <v>0</v>
      </c>
      <c r="M126" s="38">
        <v>0</v>
      </c>
      <c r="N126" s="38">
        <v>0</v>
      </c>
      <c r="O126" s="37">
        <v>0</v>
      </c>
      <c r="P126" s="37">
        <f t="shared" si="9"/>
        <v>632.5</v>
      </c>
      <c r="Q126" s="37">
        <f t="shared" si="10"/>
        <v>52.708333333333336</v>
      </c>
      <c r="R126" s="32"/>
    </row>
    <row r="127" spans="1:18" ht="12">
      <c r="A127" s="85" t="s">
        <v>157</v>
      </c>
      <c r="B127" s="85"/>
      <c r="C127" s="85"/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6">
        <v>330</v>
      </c>
      <c r="K127" s="35">
        <v>330</v>
      </c>
      <c r="L127" s="35">
        <v>0</v>
      </c>
      <c r="M127" s="35">
        <v>0</v>
      </c>
      <c r="N127" s="35">
        <v>0</v>
      </c>
      <c r="O127" s="36">
        <v>0</v>
      </c>
      <c r="P127" s="37">
        <f t="shared" si="9"/>
        <v>660</v>
      </c>
      <c r="Q127" s="37">
        <f t="shared" si="10"/>
        <v>55</v>
      </c>
      <c r="R127" s="32"/>
    </row>
    <row r="128" spans="1:18" ht="12">
      <c r="A128" s="86" t="s">
        <v>158</v>
      </c>
      <c r="B128" s="86"/>
      <c r="C128" s="86"/>
      <c r="D128" s="38">
        <v>0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J128" s="37">
        <v>0</v>
      </c>
      <c r="K128" s="38">
        <v>73346</v>
      </c>
      <c r="L128" s="38">
        <v>0</v>
      </c>
      <c r="M128" s="38">
        <v>141591</v>
      </c>
      <c r="N128" s="38">
        <v>30000</v>
      </c>
      <c r="O128" s="37">
        <v>10080</v>
      </c>
      <c r="P128" s="37">
        <f t="shared" si="9"/>
        <v>255017</v>
      </c>
      <c r="Q128" s="37">
        <f t="shared" si="10"/>
        <v>21251.416666666668</v>
      </c>
      <c r="R128" s="32"/>
    </row>
    <row r="129" spans="1:20" ht="12">
      <c r="A129" s="85" t="s">
        <v>159</v>
      </c>
      <c r="B129" s="85"/>
      <c r="C129" s="85"/>
      <c r="D129" s="35">
        <v>6364.55</v>
      </c>
      <c r="E129" s="35">
        <v>289.35000000000002</v>
      </c>
      <c r="F129" s="35">
        <v>0</v>
      </c>
      <c r="G129" s="35">
        <v>0</v>
      </c>
      <c r="H129" s="35">
        <v>0</v>
      </c>
      <c r="I129" s="35">
        <v>0</v>
      </c>
      <c r="J129" s="36">
        <v>0</v>
      </c>
      <c r="K129" s="35">
        <v>500</v>
      </c>
      <c r="L129" s="35">
        <v>6437</v>
      </c>
      <c r="M129" s="35">
        <v>0</v>
      </c>
      <c r="N129" s="35">
        <v>0</v>
      </c>
      <c r="O129" s="36">
        <v>0</v>
      </c>
      <c r="P129" s="37">
        <f t="shared" si="9"/>
        <v>13590.900000000001</v>
      </c>
      <c r="Q129" s="37">
        <f t="shared" si="10"/>
        <v>1132.575</v>
      </c>
      <c r="R129" s="32"/>
    </row>
    <row r="130" spans="1:20" s="51" customFormat="1" ht="12">
      <c r="A130" s="91" t="s">
        <v>160</v>
      </c>
      <c r="B130" s="91"/>
      <c r="C130" s="91"/>
      <c r="D130" s="48">
        <v>0</v>
      </c>
      <c r="E130" s="48">
        <v>0</v>
      </c>
      <c r="F130" s="48">
        <v>0</v>
      </c>
      <c r="G130" s="48">
        <v>0</v>
      </c>
      <c r="H130" s="48">
        <v>1268.94</v>
      </c>
      <c r="I130" s="48">
        <v>0</v>
      </c>
      <c r="J130" s="49">
        <v>0</v>
      </c>
      <c r="K130" s="48">
        <v>0</v>
      </c>
      <c r="L130" s="48">
        <v>0</v>
      </c>
      <c r="M130" s="48">
        <v>10397</v>
      </c>
      <c r="N130" s="48">
        <v>8926.02</v>
      </c>
      <c r="O130" s="49">
        <v>1147.6400000000001</v>
      </c>
      <c r="P130" s="49">
        <f t="shared" ref="P130:P139" si="17">SUM(D130:O130)</f>
        <v>21739.599999999999</v>
      </c>
      <c r="Q130" s="49">
        <f t="shared" ref="Q130:Q139" si="18">P130/12</f>
        <v>1811.6333333333332</v>
      </c>
      <c r="R130" s="50"/>
    </row>
    <row r="131" spans="1:20" ht="12">
      <c r="A131" s="85" t="s">
        <v>161</v>
      </c>
      <c r="B131" s="85"/>
      <c r="C131" s="85"/>
      <c r="D131" s="35">
        <v>0</v>
      </c>
      <c r="E131" s="35">
        <v>0</v>
      </c>
      <c r="F131" s="35">
        <v>0</v>
      </c>
      <c r="G131" s="35">
        <v>0</v>
      </c>
      <c r="H131" s="35">
        <v>2500</v>
      </c>
      <c r="I131" s="35">
        <v>0</v>
      </c>
      <c r="J131" s="36">
        <v>0</v>
      </c>
      <c r="K131" s="35">
        <v>0</v>
      </c>
      <c r="L131" s="35">
        <v>0</v>
      </c>
      <c r="M131" s="35">
        <v>0</v>
      </c>
      <c r="N131" s="35">
        <v>0</v>
      </c>
      <c r="O131" s="36">
        <v>0</v>
      </c>
      <c r="P131" s="37">
        <f t="shared" si="17"/>
        <v>2500</v>
      </c>
      <c r="Q131" s="37">
        <f t="shared" si="18"/>
        <v>208.33333333333334</v>
      </c>
      <c r="R131" s="32"/>
    </row>
    <row r="132" spans="1:20" ht="12">
      <c r="A132" s="86" t="s">
        <v>162</v>
      </c>
      <c r="B132" s="86"/>
      <c r="C132" s="86"/>
      <c r="D132" s="38">
        <v>17153.759999999998</v>
      </c>
      <c r="E132" s="38">
        <v>16363.76</v>
      </c>
      <c r="F132" s="38">
        <v>16363.78</v>
      </c>
      <c r="G132" s="38">
        <v>9994.8700000000008</v>
      </c>
      <c r="H132" s="38">
        <v>881.5</v>
      </c>
      <c r="I132" s="38">
        <v>0</v>
      </c>
      <c r="J132" s="37">
        <v>0</v>
      </c>
      <c r="K132" s="38">
        <v>0</v>
      </c>
      <c r="L132" s="38">
        <v>0</v>
      </c>
      <c r="M132" s="38">
        <v>0</v>
      </c>
      <c r="N132" s="38">
        <v>0</v>
      </c>
      <c r="O132" s="37">
        <v>0</v>
      </c>
      <c r="P132" s="37">
        <f t="shared" si="17"/>
        <v>60757.67</v>
      </c>
      <c r="Q132" s="37">
        <f t="shared" si="18"/>
        <v>5063.1391666666668</v>
      </c>
      <c r="R132" s="32"/>
    </row>
    <row r="133" spans="1:20" ht="12">
      <c r="A133" s="91" t="s">
        <v>163</v>
      </c>
      <c r="B133" s="91"/>
      <c r="C133" s="91"/>
      <c r="D133" s="35">
        <v>0</v>
      </c>
      <c r="E133" s="35">
        <v>0</v>
      </c>
      <c r="F133" s="35">
        <v>0</v>
      </c>
      <c r="G133" s="35">
        <v>4545</v>
      </c>
      <c r="H133" s="35">
        <v>13279.9</v>
      </c>
      <c r="I133" s="35">
        <v>16629.34</v>
      </c>
      <c r="J133" s="36">
        <v>3733.65</v>
      </c>
      <c r="K133" s="35">
        <v>984.65</v>
      </c>
      <c r="L133" s="35">
        <v>0</v>
      </c>
      <c r="M133" s="35">
        <v>0</v>
      </c>
      <c r="N133" s="35">
        <v>0</v>
      </c>
      <c r="O133" s="36">
        <v>164.7</v>
      </c>
      <c r="P133" s="37">
        <f t="shared" si="17"/>
        <v>39337.240000000005</v>
      </c>
      <c r="Q133" s="37">
        <f t="shared" si="18"/>
        <v>3278.1033333333339</v>
      </c>
      <c r="R133" s="32"/>
    </row>
    <row r="134" spans="1:20" ht="12">
      <c r="A134" s="86" t="s">
        <v>164</v>
      </c>
      <c r="B134" s="86"/>
      <c r="C134" s="86"/>
      <c r="D134" s="38">
        <v>506.55</v>
      </c>
      <c r="E134" s="38">
        <v>1732.86</v>
      </c>
      <c r="F134" s="38">
        <v>1076.6099999999999</v>
      </c>
      <c r="G134" s="38">
        <v>686.61</v>
      </c>
      <c r="H134" s="38">
        <v>0</v>
      </c>
      <c r="I134" s="38">
        <v>0</v>
      </c>
      <c r="J134" s="37">
        <v>0</v>
      </c>
      <c r="K134" s="38">
        <v>861.65</v>
      </c>
      <c r="L134" s="38">
        <v>861.65</v>
      </c>
      <c r="M134" s="38">
        <v>9361.65</v>
      </c>
      <c r="N134" s="38">
        <v>861.65</v>
      </c>
      <c r="O134" s="37">
        <v>0</v>
      </c>
      <c r="P134" s="37">
        <f t="shared" si="17"/>
        <v>15949.229999999998</v>
      </c>
      <c r="Q134" s="37">
        <f t="shared" si="18"/>
        <v>1329.1024999999997</v>
      </c>
      <c r="R134" s="32"/>
      <c r="T134" s="22">
        <f>Q121-Q140</f>
        <v>-275939.80249999999</v>
      </c>
    </row>
    <row r="135" spans="1:20" ht="12">
      <c r="A135" s="85" t="s">
        <v>165</v>
      </c>
      <c r="B135" s="85"/>
      <c r="C135" s="85"/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12832.24</v>
      </c>
      <c r="J135" s="36">
        <v>90436.66</v>
      </c>
      <c r="K135" s="35">
        <v>3642.3</v>
      </c>
      <c r="L135" s="35">
        <v>601</v>
      </c>
      <c r="M135" s="35">
        <v>0</v>
      </c>
      <c r="N135" s="35">
        <v>78646.399999999994</v>
      </c>
      <c r="O135" s="36">
        <v>7670.7</v>
      </c>
      <c r="P135" s="37">
        <f t="shared" si="17"/>
        <v>193829.30000000002</v>
      </c>
      <c r="Q135" s="37">
        <f t="shared" si="18"/>
        <v>16152.441666666668</v>
      </c>
      <c r="R135" s="32"/>
    </row>
    <row r="136" spans="1:20" ht="12">
      <c r="A136" s="86" t="s">
        <v>166</v>
      </c>
      <c r="B136" s="86"/>
      <c r="C136" s="86"/>
      <c r="D136" s="38">
        <v>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7">
        <v>89500</v>
      </c>
      <c r="K136" s="38">
        <v>0</v>
      </c>
      <c r="L136" s="38">
        <v>89500</v>
      </c>
      <c r="M136" s="38">
        <v>22375</v>
      </c>
      <c r="N136" s="38">
        <v>22375</v>
      </c>
      <c r="O136" s="37">
        <v>22375</v>
      </c>
      <c r="P136" s="37">
        <f t="shared" si="17"/>
        <v>246125</v>
      </c>
      <c r="Q136" s="37">
        <f t="shared" si="18"/>
        <v>20510.416666666668</v>
      </c>
      <c r="R136" s="32"/>
    </row>
    <row r="137" spans="1:20" ht="12">
      <c r="A137" s="85" t="s">
        <v>167</v>
      </c>
      <c r="B137" s="85"/>
      <c r="C137" s="85"/>
      <c r="D137" s="35">
        <v>0</v>
      </c>
      <c r="E137" s="35">
        <v>0</v>
      </c>
      <c r="F137" s="35">
        <v>0</v>
      </c>
      <c r="G137" s="35">
        <v>0</v>
      </c>
      <c r="H137" s="35">
        <v>129.97999999999999</v>
      </c>
      <c r="I137" s="35">
        <v>0</v>
      </c>
      <c r="J137" s="36">
        <v>0</v>
      </c>
      <c r="K137" s="35">
        <v>0</v>
      </c>
      <c r="L137" s="35">
        <v>0</v>
      </c>
      <c r="M137" s="35">
        <v>0</v>
      </c>
      <c r="N137" s="35">
        <v>0</v>
      </c>
      <c r="O137" s="36">
        <v>0</v>
      </c>
      <c r="P137" s="37">
        <f t="shared" si="17"/>
        <v>129.97999999999999</v>
      </c>
      <c r="Q137" s="37">
        <f t="shared" si="18"/>
        <v>10.831666666666665</v>
      </c>
      <c r="R137" s="32"/>
    </row>
    <row r="138" spans="1:20" ht="12">
      <c r="A138" s="86" t="s">
        <v>168</v>
      </c>
      <c r="B138" s="86"/>
      <c r="C138" s="86"/>
      <c r="D138" s="38">
        <v>0</v>
      </c>
      <c r="E138" s="38">
        <v>0</v>
      </c>
      <c r="F138" s="38">
        <v>0</v>
      </c>
      <c r="G138" s="38">
        <v>0</v>
      </c>
      <c r="H138" s="38">
        <v>0</v>
      </c>
      <c r="I138" s="38">
        <v>0</v>
      </c>
      <c r="J138" s="37">
        <v>0</v>
      </c>
      <c r="K138" s="38">
        <v>0</v>
      </c>
      <c r="L138" s="38">
        <v>500</v>
      </c>
      <c r="M138" s="38">
        <v>0</v>
      </c>
      <c r="N138" s="38">
        <v>0</v>
      </c>
      <c r="O138" s="37">
        <v>0</v>
      </c>
      <c r="P138" s="37">
        <f t="shared" si="17"/>
        <v>500</v>
      </c>
      <c r="Q138" s="37">
        <f t="shared" si="18"/>
        <v>41.666666666666664</v>
      </c>
      <c r="R138" s="32"/>
    </row>
    <row r="139" spans="1:20" ht="12">
      <c r="A139" s="85" t="s">
        <v>169</v>
      </c>
      <c r="B139" s="85"/>
      <c r="C139" s="85"/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6">
        <v>0</v>
      </c>
      <c r="K139" s="35">
        <v>0</v>
      </c>
      <c r="L139" s="35">
        <v>0</v>
      </c>
      <c r="M139" s="35">
        <v>0</v>
      </c>
      <c r="N139" s="35">
        <v>0</v>
      </c>
      <c r="O139" s="36">
        <v>3300</v>
      </c>
      <c r="P139" s="37">
        <f t="shared" si="17"/>
        <v>3300</v>
      </c>
      <c r="Q139" s="37">
        <f t="shared" si="18"/>
        <v>275</v>
      </c>
      <c r="R139" s="32"/>
    </row>
    <row r="140" spans="1:20" ht="12">
      <c r="A140" s="90" t="s">
        <v>113</v>
      </c>
      <c r="B140" s="90"/>
      <c r="C140" s="90"/>
      <c r="D140" s="39">
        <f>D26</f>
        <v>308825.78999999998</v>
      </c>
      <c r="E140" s="39">
        <f t="shared" ref="E140:O140" si="19">E26</f>
        <v>256130.14</v>
      </c>
      <c r="F140" s="39">
        <f t="shared" si="19"/>
        <v>318039.96000000002</v>
      </c>
      <c r="G140" s="39">
        <f t="shared" si="19"/>
        <v>281471.10000000003</v>
      </c>
      <c r="H140" s="39">
        <f t="shared" si="19"/>
        <v>308302.80000000005</v>
      </c>
      <c r="I140" s="39">
        <f t="shared" si="19"/>
        <v>334819.06000000006</v>
      </c>
      <c r="J140" s="39">
        <f t="shared" si="19"/>
        <v>504020.49000000005</v>
      </c>
      <c r="K140" s="39">
        <f t="shared" si="19"/>
        <v>338176.55</v>
      </c>
      <c r="L140" s="39">
        <f t="shared" si="19"/>
        <v>366076.67000000004</v>
      </c>
      <c r="M140" s="39">
        <f t="shared" si="19"/>
        <v>469543.74</v>
      </c>
      <c r="N140" s="39">
        <f t="shared" si="19"/>
        <v>395945.45000000007</v>
      </c>
      <c r="O140" s="39">
        <f t="shared" si="19"/>
        <v>310388.34999999998</v>
      </c>
      <c r="P140" s="42">
        <f>SUM(D140:O140)</f>
        <v>4191740.1</v>
      </c>
      <c r="Q140" s="42">
        <f>P140/12</f>
        <v>349311.67499999999</v>
      </c>
      <c r="R140" s="32"/>
    </row>
    <row r="141" spans="1:20" ht="1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1:20" ht="12"/>
    <row r="143" spans="1:20" ht="12"/>
    <row r="144" spans="1:20" ht="12"/>
    <row r="145" ht="12"/>
    <row r="146" ht="12"/>
    <row r="147" ht="12"/>
    <row r="148" ht="12"/>
    <row r="149" ht="12"/>
    <row r="150" ht="12"/>
    <row r="151" ht="12"/>
    <row r="152" ht="12"/>
    <row r="153" ht="12"/>
    <row r="154" ht="12"/>
    <row r="155" ht="12"/>
    <row r="156" ht="12"/>
    <row r="157" ht="12"/>
    <row r="158" ht="12"/>
    <row r="159" ht="12"/>
    <row r="160" ht="12"/>
    <row r="161" ht="12"/>
    <row r="162" ht="12"/>
    <row r="163" ht="12"/>
    <row r="164" ht="12"/>
    <row r="165" ht="12"/>
    <row r="166" ht="12"/>
    <row r="167" ht="12"/>
    <row r="168" ht="12"/>
    <row r="169" ht="12"/>
    <row r="170" ht="12"/>
    <row r="171" ht="12"/>
    <row r="172" ht="12"/>
    <row r="173" ht="12"/>
    <row r="174" ht="12"/>
    <row r="175" ht="12"/>
    <row r="176" ht="12"/>
    <row r="177" ht="12"/>
    <row r="178" ht="12"/>
    <row r="179" ht="12"/>
    <row r="180" ht="12"/>
    <row r="181" ht="12"/>
  </sheetData>
  <mergeCells count="140">
    <mergeCell ref="A140:C140"/>
    <mergeCell ref="A139:C139"/>
    <mergeCell ref="A138:C138"/>
    <mergeCell ref="A137:C137"/>
    <mergeCell ref="A136:C136"/>
    <mergeCell ref="A135:C135"/>
    <mergeCell ref="A134:C134"/>
    <mergeCell ref="A133:C133"/>
    <mergeCell ref="A132:C132"/>
    <mergeCell ref="A131:C131"/>
    <mergeCell ref="A130:C130"/>
    <mergeCell ref="A129:C129"/>
    <mergeCell ref="A128:C128"/>
    <mergeCell ref="A127:C127"/>
    <mergeCell ref="A126:C126"/>
    <mergeCell ref="A125:C125"/>
    <mergeCell ref="A124:C124"/>
    <mergeCell ref="A123:C123"/>
    <mergeCell ref="A122:C122"/>
    <mergeCell ref="A121:C121"/>
    <mergeCell ref="A120:C120"/>
    <mergeCell ref="A119:C119"/>
    <mergeCell ref="A118:C118"/>
    <mergeCell ref="A117:C117"/>
    <mergeCell ref="A116:C116"/>
    <mergeCell ref="A115:C115"/>
    <mergeCell ref="A114:C114"/>
    <mergeCell ref="A113:C113"/>
    <mergeCell ref="A112:C112"/>
    <mergeCell ref="A111:C111"/>
    <mergeCell ref="A110:C110"/>
    <mergeCell ref="A109:C109"/>
    <mergeCell ref="A108:C108"/>
    <mergeCell ref="A107:C107"/>
    <mergeCell ref="A106:C106"/>
    <mergeCell ref="A105:C105"/>
    <mergeCell ref="A104:C104"/>
    <mergeCell ref="A103:C103"/>
    <mergeCell ref="A102:C102"/>
    <mergeCell ref="A101:C101"/>
    <mergeCell ref="A100:C100"/>
    <mergeCell ref="A99:C99"/>
    <mergeCell ref="A98:C98"/>
    <mergeCell ref="A97:C97"/>
    <mergeCell ref="A96:C96"/>
    <mergeCell ref="A95:C95"/>
    <mergeCell ref="A94:C94"/>
    <mergeCell ref="A93:C93"/>
    <mergeCell ref="A92:C92"/>
    <mergeCell ref="A91:C91"/>
    <mergeCell ref="A90:C90"/>
    <mergeCell ref="A89:C89"/>
    <mergeCell ref="A88:C88"/>
    <mergeCell ref="A87:C87"/>
    <mergeCell ref="A86:C86"/>
    <mergeCell ref="A85:C85"/>
    <mergeCell ref="A84:C84"/>
    <mergeCell ref="A83:C83"/>
    <mergeCell ref="A82:C82"/>
    <mergeCell ref="A81:C81"/>
    <mergeCell ref="A80:C80"/>
    <mergeCell ref="A79:C79"/>
    <mergeCell ref="A78:C78"/>
    <mergeCell ref="A77:C77"/>
    <mergeCell ref="A76:C76"/>
    <mergeCell ref="A75:C75"/>
    <mergeCell ref="A74:C74"/>
    <mergeCell ref="A73:C73"/>
    <mergeCell ref="A72:C72"/>
    <mergeCell ref="A71:C71"/>
    <mergeCell ref="A70:C70"/>
    <mergeCell ref="A69:C69"/>
    <mergeCell ref="A68:C68"/>
    <mergeCell ref="A67:C67"/>
    <mergeCell ref="A66:C66"/>
    <mergeCell ref="A65:C65"/>
    <mergeCell ref="A64:C64"/>
    <mergeCell ref="A63:C63"/>
    <mergeCell ref="A62:C62"/>
    <mergeCell ref="A61:C61"/>
    <mergeCell ref="A60:C60"/>
    <mergeCell ref="A59:C59"/>
    <mergeCell ref="A58:C58"/>
    <mergeCell ref="A57:C57"/>
    <mergeCell ref="A56:C56"/>
    <mergeCell ref="A55:C55"/>
    <mergeCell ref="A54:C54"/>
    <mergeCell ref="A53:C53"/>
    <mergeCell ref="A52:C52"/>
    <mergeCell ref="A51:C51"/>
    <mergeCell ref="A50:C50"/>
    <mergeCell ref="A49:C49"/>
    <mergeCell ref="A48:C48"/>
    <mergeCell ref="A47:C47"/>
    <mergeCell ref="A46:C46"/>
    <mergeCell ref="A45:C45"/>
    <mergeCell ref="A44:C44"/>
    <mergeCell ref="A43:C43"/>
    <mergeCell ref="A42:C42"/>
    <mergeCell ref="A41:C41"/>
    <mergeCell ref="A40:C40"/>
    <mergeCell ref="A39:C39"/>
    <mergeCell ref="A38:C38"/>
    <mergeCell ref="A37:C37"/>
    <mergeCell ref="A36:C36"/>
    <mergeCell ref="A35:C35"/>
    <mergeCell ref="A34:C34"/>
    <mergeCell ref="A33:C33"/>
    <mergeCell ref="A32:C32"/>
    <mergeCell ref="A31:C31"/>
    <mergeCell ref="A30:C30"/>
    <mergeCell ref="A29:C29"/>
    <mergeCell ref="A28:C28"/>
    <mergeCell ref="A27:C27"/>
    <mergeCell ref="A26:C26"/>
    <mergeCell ref="A25:C25"/>
    <mergeCell ref="A24:C24"/>
    <mergeCell ref="A23:C23"/>
    <mergeCell ref="A22:C22"/>
    <mergeCell ref="A21:C21"/>
    <mergeCell ref="A20:C20"/>
    <mergeCell ref="A19:C19"/>
    <mergeCell ref="A18:C18"/>
    <mergeCell ref="A17:C17"/>
    <mergeCell ref="A16:C16"/>
    <mergeCell ref="A15:C15"/>
    <mergeCell ref="A5:C5"/>
    <mergeCell ref="A4:C4"/>
    <mergeCell ref="A3:C3"/>
    <mergeCell ref="A2:C2"/>
    <mergeCell ref="A1:C1"/>
    <mergeCell ref="A14:C14"/>
    <mergeCell ref="A13:C13"/>
    <mergeCell ref="A12:C12"/>
    <mergeCell ref="A11:C11"/>
    <mergeCell ref="A10:C10"/>
    <mergeCell ref="A9:C9"/>
    <mergeCell ref="A8:C8"/>
    <mergeCell ref="A7:C7"/>
    <mergeCell ref="A6:C6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478D-ABB6-487F-81C9-FF813CDA5577}">
  <sheetPr>
    <outlinePr summaryBelow="0"/>
  </sheetPr>
  <dimension ref="C1:V137"/>
  <sheetViews>
    <sheetView tabSelected="1" zoomScale="120" zoomScaleNormal="120" workbookViewId="0">
      <pane ySplit="3" topLeftCell="A86" activePane="bottomLeft" state="frozen"/>
      <selection pane="bottomLeft" activeCell="S87" sqref="S87"/>
    </sheetView>
  </sheetViews>
  <sheetFormatPr defaultColWidth="9.109375" defaultRowHeight="15" customHeight="1"/>
  <cols>
    <col min="1" max="2" width="9.109375" style="1"/>
    <col min="3" max="3" width="8.33203125" style="1" customWidth="1"/>
    <col min="4" max="4" width="13.109375" style="1" customWidth="1"/>
    <col min="5" max="5" width="24.88671875" style="1" customWidth="1"/>
    <col min="6" max="17" width="9.5546875" style="1" hidden="1" customWidth="1"/>
    <col min="18" max="18" width="14.33203125" style="1" customWidth="1"/>
    <col min="19" max="19" width="13.5546875" style="1" customWidth="1"/>
    <col min="20" max="20" width="8.109375" style="1" hidden="1" customWidth="1"/>
    <col min="21" max="21" width="0" style="1" hidden="1" customWidth="1"/>
    <col min="22" max="22" width="11.109375" style="1" hidden="1" customWidth="1"/>
    <col min="23" max="23" width="0" style="1" hidden="1" customWidth="1"/>
    <col min="24" max="16384" width="9.109375" style="1"/>
  </cols>
  <sheetData>
    <row r="1" spans="3:22" ht="19.5" customHeight="1">
      <c r="C1" s="79" t="s">
        <v>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3:22" ht="19.5" customHeight="1">
      <c r="C2" s="80" t="s">
        <v>1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3:22" ht="16.5" customHeight="1">
      <c r="C3" s="81" t="s">
        <v>2</v>
      </c>
      <c r="D3" s="82"/>
      <c r="E3" s="83"/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63" t="s">
        <v>9</v>
      </c>
      <c r="M3" s="31" t="s">
        <v>10</v>
      </c>
      <c r="N3" s="31" t="s">
        <v>11</v>
      </c>
      <c r="O3" s="31" t="s">
        <v>12</v>
      </c>
      <c r="P3" s="31" t="s">
        <v>13</v>
      </c>
      <c r="Q3" s="31" t="s">
        <v>14</v>
      </c>
      <c r="R3" s="29" t="s">
        <v>15</v>
      </c>
      <c r="S3" s="29" t="s">
        <v>16</v>
      </c>
      <c r="T3" s="32"/>
    </row>
    <row r="4" spans="3:22" ht="12">
      <c r="C4" s="84" t="s">
        <v>17</v>
      </c>
      <c r="D4" s="84"/>
      <c r="E4" s="84"/>
      <c r="F4" s="23" t="e">
        <f>F5+F22+F38+F78+F86+#REF!</f>
        <v>#REF!</v>
      </c>
      <c r="G4" s="23" t="e">
        <f>G5+G22+G38+G78+G86+#REF!</f>
        <v>#REF!</v>
      </c>
      <c r="H4" s="23" t="e">
        <f>H5+H22+H38+H78+H86+#REF!</f>
        <v>#REF!</v>
      </c>
      <c r="I4" s="23" t="e">
        <f>I5+I22+I38+I78+I86+#REF!</f>
        <v>#REF!</v>
      </c>
      <c r="J4" s="23" t="e">
        <f>J5+J22+J38+J78+J86+#REF!</f>
        <v>#REF!</v>
      </c>
      <c r="K4" s="23" t="e">
        <f>K5+K22+K38+K78+K86+#REF!</f>
        <v>#REF!</v>
      </c>
      <c r="L4" s="23" t="e">
        <f>L5+L22+L38+L78+L86+#REF!</f>
        <v>#REF!</v>
      </c>
      <c r="M4" s="23" t="e">
        <f>M5+M22+M38+M78+M86+#REF!</f>
        <v>#REF!</v>
      </c>
      <c r="N4" s="23" t="e">
        <f>N5+N22+N38+N78+N86+#REF!</f>
        <v>#REF!</v>
      </c>
      <c r="O4" s="23" t="e">
        <f>O5+O22+O38+O78+O86+#REF!</f>
        <v>#REF!</v>
      </c>
      <c r="P4" s="23" t="e">
        <f>P5+P22+P38+P78+P86+#REF!</f>
        <v>#REF!</v>
      </c>
      <c r="Q4" s="23" t="e">
        <f>Q5+Q22+Q38+Q78+Q86+#REF!</f>
        <v>#REF!</v>
      </c>
      <c r="R4" s="23"/>
      <c r="S4" s="24"/>
      <c r="T4" s="15" t="s">
        <v>18</v>
      </c>
      <c r="U4" s="16">
        <v>1.0449999999999999</v>
      </c>
      <c r="V4" s="17">
        <v>4.4999999999999998E-2</v>
      </c>
    </row>
    <row r="5" spans="3:22" ht="12">
      <c r="C5" s="74" t="s">
        <v>19</v>
      </c>
      <c r="D5" s="74"/>
      <c r="E5" s="74"/>
      <c r="F5" s="8">
        <f>SUM(F6:F21)</f>
        <v>9137.3607499999998</v>
      </c>
      <c r="G5" s="8">
        <f t="shared" ref="G5:Q5" si="0">SUM(G6:G21)</f>
        <v>8418.0036500000006</v>
      </c>
      <c r="H5" s="8">
        <f t="shared" si="0"/>
        <v>83898.211650000012</v>
      </c>
      <c r="I5" s="8">
        <f t="shared" si="0"/>
        <v>11787.819449999999</v>
      </c>
      <c r="J5" s="8">
        <f t="shared" si="0"/>
        <v>9820.220299999999</v>
      </c>
      <c r="K5" s="8">
        <f t="shared" si="0"/>
        <v>11732.215</v>
      </c>
      <c r="L5" s="8">
        <f t="shared" si="0"/>
        <v>11683.813550000001</v>
      </c>
      <c r="M5" s="8">
        <f t="shared" si="0"/>
        <v>10756.028249999999</v>
      </c>
      <c r="N5" s="8">
        <f t="shared" si="0"/>
        <v>14142.8001</v>
      </c>
      <c r="O5" s="8">
        <f t="shared" si="0"/>
        <v>11295.990199999998</v>
      </c>
      <c r="P5" s="8">
        <f t="shared" si="0"/>
        <v>10879.494999999999</v>
      </c>
      <c r="Q5" s="8">
        <f t="shared" si="0"/>
        <v>9734.8855999999996</v>
      </c>
      <c r="R5" s="8">
        <f>SUM(R6:R21)</f>
        <v>203286.84350000002</v>
      </c>
      <c r="S5" s="8">
        <f>R5/12</f>
        <v>16940.570291666667</v>
      </c>
    </row>
    <row r="6" spans="3:22" ht="12">
      <c r="C6" s="69" t="s">
        <v>20</v>
      </c>
      <c r="D6" s="69"/>
      <c r="E6" s="69"/>
      <c r="F6" s="3">
        <v>34</v>
      </c>
      <c r="G6" s="3">
        <v>34</v>
      </c>
      <c r="H6" s="3">
        <f>'REALIZADO 2025'!F28*'PREVISTO 2026 REVISADO (2)'!$U$4</f>
        <v>82.544549999999987</v>
      </c>
      <c r="I6" s="3">
        <f>'REALIZADO 2025'!G28*'PREVISTO 2026 REVISADO (2)'!$U$4</f>
        <v>62.062549999999995</v>
      </c>
      <c r="J6" s="3">
        <f>'REALIZADO 2025'!H28*'PREVISTO 2026 REVISADO (2)'!$U$4</f>
        <v>101.5949</v>
      </c>
      <c r="K6" s="3">
        <f>'REALIZADO 2025'!I28*'PREVISTO 2026 REVISADO (2)'!$U$4</f>
        <v>39.605499999999999</v>
      </c>
      <c r="L6" s="3">
        <v>35</v>
      </c>
      <c r="M6" s="3">
        <f>'REALIZADO 2025'!K28*'PREVISTO 2026 REVISADO (2)'!$U$4</f>
        <v>33.335499999999996</v>
      </c>
      <c r="N6" s="3">
        <f>'REALIZADO 2025'!L28*'PREVISTO 2026 REVISADO (2)'!$U$4</f>
        <v>33.335499999999996</v>
      </c>
      <c r="O6" s="3">
        <f>'REALIZADO 2025'!M28*'PREVISTO 2026 REVISADO (2)'!$U$4</f>
        <v>34.380499999999998</v>
      </c>
      <c r="P6" s="3">
        <f>'REALIZADO 2025'!N28*'PREVISTO 2026 REVISADO (2)'!$U$4</f>
        <v>31.245499999999996</v>
      </c>
      <c r="Q6" s="3">
        <f>'REALIZADO 2025'!O28*'PREVISTO 2026 REVISADO (2)'!$U$4</f>
        <v>31.517199999999999</v>
      </c>
      <c r="R6" s="25">
        <f t="shared" ref="R6:R21" si="1">SUM(F6:Q6)</f>
        <v>552.62170000000003</v>
      </c>
      <c r="S6" s="25">
        <f t="shared" ref="S6:S69" si="2">R6/12</f>
        <v>46.051808333333334</v>
      </c>
      <c r="T6" s="5"/>
    </row>
    <row r="7" spans="3:22" ht="12">
      <c r="C7" s="69" t="s">
        <v>21</v>
      </c>
      <c r="D7" s="69"/>
      <c r="E7" s="69"/>
      <c r="F7" s="3">
        <f>'REALIZADO 2025'!D29*'PREVISTO 2026 REVISADO (2)'!$U$4</f>
        <v>0</v>
      </c>
      <c r="G7" s="3">
        <f>'REALIZADO 2025'!E29*'PREVISTO 2026 REVISADO (2)'!$U$4</f>
        <v>0</v>
      </c>
      <c r="H7" s="3">
        <f>'REALIZADO 2025'!F29*'PREVISTO 2026 REVISADO (2)'!$U$4</f>
        <v>196.34504999999999</v>
      </c>
      <c r="I7" s="3">
        <f>'REALIZADO 2025'!G29*'PREVISTO 2026 REVISADO (2)'!$U$4</f>
        <v>0</v>
      </c>
      <c r="J7" s="3">
        <f>'REALIZADO 2025'!H29*'PREVISTO 2026 REVISADO (2)'!$U$4</f>
        <v>0</v>
      </c>
      <c r="K7" s="3">
        <f>'REALIZADO 2025'!I29*'PREVISTO 2026 REVISADO (2)'!$U$4</f>
        <v>0</v>
      </c>
      <c r="L7" s="3">
        <f>'REALIZADO 2025'!J29*'PREVISTO 2026 REVISADO (2)'!$U$4</f>
        <v>415.90999999999997</v>
      </c>
      <c r="M7" s="3">
        <f>'REALIZADO 2025'!K29*'PREVISTO 2026 REVISADO (2)'!$U$4</f>
        <v>176.54229999999998</v>
      </c>
      <c r="N7" s="3">
        <f>'REALIZADO 2025'!L29*'PREVISTO 2026 REVISADO (2)'!$U$4</f>
        <v>0</v>
      </c>
      <c r="O7" s="3">
        <f>'REALIZADO 2025'!M29*'PREVISTO 2026 REVISADO (2)'!$U$4</f>
        <v>0</v>
      </c>
      <c r="P7" s="3">
        <f>'REALIZADO 2025'!N29*'PREVISTO 2026 REVISADO (2)'!$U$4</f>
        <v>424.68799999999993</v>
      </c>
      <c r="Q7" s="3">
        <f>'REALIZADO 2025'!O29*'PREVISTO 2026 REVISADO (2)'!$U$4</f>
        <v>0</v>
      </c>
      <c r="R7" s="25">
        <f t="shared" si="1"/>
        <v>1213.4853499999999</v>
      </c>
      <c r="S7" s="25">
        <f t="shared" si="2"/>
        <v>101.12377916666667</v>
      </c>
      <c r="T7" s="5"/>
    </row>
    <row r="8" spans="3:22" ht="12">
      <c r="C8" s="69" t="s">
        <v>22</v>
      </c>
      <c r="D8" s="69"/>
      <c r="E8" s="69"/>
      <c r="F8" s="3">
        <f>'REALIZADO 2025'!D30*'PREVISTO 2026 REVISADO (2)'!$U$4</f>
        <v>0</v>
      </c>
      <c r="G8" s="3">
        <f>'REALIZADO 2025'!E30*'PREVISTO 2026 REVISADO (2)'!$U$4</f>
        <v>0</v>
      </c>
      <c r="H8" s="3">
        <f>'REALIZADO 2025'!F30*'PREVISTO 2026 REVISADO (2)'!$U$4</f>
        <v>0</v>
      </c>
      <c r="I8" s="3">
        <f>'REALIZADO 2025'!G30*'PREVISTO 2026 REVISADO (2)'!$U$4</f>
        <v>0</v>
      </c>
      <c r="J8" s="3">
        <f>'REALIZADO 2025'!H30*'PREVISTO 2026 REVISADO (2)'!$U$4</f>
        <v>187.65064999999998</v>
      </c>
      <c r="K8" s="3">
        <f>'REALIZADO 2025'!I30*'PREVISTO 2026 REVISADO (2)'!$U$4</f>
        <v>0</v>
      </c>
      <c r="L8" s="3">
        <f>'REALIZADO 2025'!J30*'PREVISTO 2026 REVISADO (2)'!$U$4</f>
        <v>0</v>
      </c>
      <c r="M8" s="3">
        <f>'REALIZADO 2025'!K30*'PREVISTO 2026 REVISADO (2)'!$U$4</f>
        <v>0</v>
      </c>
      <c r="N8" s="3">
        <f>'REALIZADO 2025'!L30*'PREVISTO 2026 REVISADO (2)'!$U$4</f>
        <v>0</v>
      </c>
      <c r="O8" s="3">
        <f>'REALIZADO 2025'!M30*'PREVISTO 2026 REVISADO (2)'!$U$4</f>
        <v>209</v>
      </c>
      <c r="P8" s="3">
        <f>'REALIZADO 2025'!N30*'PREVISTO 2026 REVISADO (2)'!$U$4</f>
        <v>0</v>
      </c>
      <c r="Q8" s="3">
        <f>'REALIZADO 2025'!O30*'PREVISTO 2026 REVISADO (2)'!$U$4</f>
        <v>0</v>
      </c>
      <c r="R8" s="25">
        <f t="shared" si="1"/>
        <v>396.65064999999998</v>
      </c>
      <c r="S8" s="25">
        <f t="shared" si="2"/>
        <v>33.054220833333332</v>
      </c>
      <c r="T8" s="5"/>
    </row>
    <row r="9" spans="3:22" ht="12">
      <c r="C9" s="69" t="s">
        <v>23</v>
      </c>
      <c r="D9" s="69"/>
      <c r="E9" s="69"/>
      <c r="F9" s="3">
        <f>'REALIZADO 2025'!D31*'PREVISTO 2026 REVISADO (2)'!$U$4</f>
        <v>0</v>
      </c>
      <c r="G9" s="3">
        <f>'REALIZADO 2025'!E31*'PREVISTO 2026 REVISADO (2)'!$U$4</f>
        <v>0</v>
      </c>
      <c r="H9" s="3">
        <f>'REALIZADO 2025'!F31*'PREVISTO 2026 REVISADO (2)'!$U$4</f>
        <v>0</v>
      </c>
      <c r="I9" s="3">
        <f>'REALIZADO 2025'!G31*'PREVISTO 2026 REVISADO (2)'!$U$4</f>
        <v>2612.5</v>
      </c>
      <c r="J9" s="3">
        <f>'REALIZADO 2025'!H31*'PREVISTO 2026 REVISADO (2)'!$U$4</f>
        <v>0</v>
      </c>
      <c r="K9" s="3">
        <f>'REALIZADO 2025'!I31*'PREVISTO 2026 REVISADO (2)'!$U$4</f>
        <v>0</v>
      </c>
      <c r="L9" s="3">
        <f>'REALIZADO 2025'!J31*'PREVISTO 2026 REVISADO (2)'!$U$4</f>
        <v>0</v>
      </c>
      <c r="M9" s="3">
        <f>'REALIZADO 2025'!K31*'PREVISTO 2026 REVISADO (2)'!$U$4</f>
        <v>0</v>
      </c>
      <c r="N9" s="3">
        <f>'REALIZADO 2025'!L31*'PREVISTO 2026 REVISADO (2)'!$U$4</f>
        <v>0</v>
      </c>
      <c r="O9" s="3">
        <f>'REALIZADO 2025'!M31*'PREVISTO 2026 REVISADO (2)'!$U$4</f>
        <v>0</v>
      </c>
      <c r="P9" s="3">
        <f>'REALIZADO 2025'!N31*'PREVISTO 2026 REVISADO (2)'!$U$4</f>
        <v>0</v>
      </c>
      <c r="Q9" s="3">
        <f>'REALIZADO 2025'!O31*'PREVISTO 2026 REVISADO (2)'!$U$4</f>
        <v>0</v>
      </c>
      <c r="R9" s="25">
        <f t="shared" si="1"/>
        <v>2612.5</v>
      </c>
      <c r="S9" s="25">
        <f t="shared" si="2"/>
        <v>217.70833333333334</v>
      </c>
      <c r="T9" s="5"/>
    </row>
    <row r="10" spans="3:22" ht="12">
      <c r="C10" s="69" t="s">
        <v>24</v>
      </c>
      <c r="D10" s="69"/>
      <c r="E10" s="69"/>
      <c r="F10" s="3">
        <f>'REALIZADO 2025'!D34*'PREVISTO 2026 REVISADO (2)'!$U$4</f>
        <v>0</v>
      </c>
      <c r="G10" s="3">
        <f>'REALIZADO 2025'!E34*'PREVISTO 2026 REVISADO (2)'!$U$4</f>
        <v>0</v>
      </c>
      <c r="H10" s="3">
        <f>'REALIZADO 2025'!F34*'PREVISTO 2026 REVISADO (2)'!$U$4</f>
        <v>0</v>
      </c>
      <c r="I10" s="3">
        <f>'REALIZADO 2025'!G34*'PREVISTO 2026 REVISADO (2)'!$U$4</f>
        <v>0</v>
      </c>
      <c r="J10" s="3">
        <f>'REALIZADO 2025'!H34*'PREVISTO 2026 REVISADO (2)'!$U$4</f>
        <v>0</v>
      </c>
      <c r="K10" s="3">
        <f>'REALIZADO 2025'!I34*'PREVISTO 2026 REVISADO (2)'!$U$4</f>
        <v>621.48239999999998</v>
      </c>
      <c r="L10" s="3">
        <f>'REALIZADO 2025'!J34*'PREVISTO 2026 REVISADO (2)'!$U$4</f>
        <v>0</v>
      </c>
      <c r="M10" s="3">
        <f>'REALIZADO 2025'!K34*'PREVISTO 2026 REVISADO (2)'!$U$4</f>
        <v>0</v>
      </c>
      <c r="N10" s="3">
        <f>'REALIZADO 2025'!L34*'PREVISTO 2026 REVISADO (2)'!$U$4</f>
        <v>0</v>
      </c>
      <c r="O10" s="3">
        <f>'REALIZADO 2025'!M34*'PREVISTO 2026 REVISADO (2)'!$U$4</f>
        <v>0</v>
      </c>
      <c r="P10" s="3">
        <f>'REALIZADO 2025'!N34*'PREVISTO 2026 REVISADO (2)'!$U$4</f>
        <v>0</v>
      </c>
      <c r="Q10" s="3">
        <f>'REALIZADO 2025'!O34*'PREVISTO 2026 REVISADO (2)'!$U$4</f>
        <v>0</v>
      </c>
      <c r="R10" s="25">
        <f t="shared" si="1"/>
        <v>621.48239999999998</v>
      </c>
      <c r="S10" s="25">
        <f t="shared" si="2"/>
        <v>51.790199999999999</v>
      </c>
      <c r="T10" s="5"/>
    </row>
    <row r="11" spans="3:22" ht="12">
      <c r="C11" s="69" t="s">
        <v>25</v>
      </c>
      <c r="D11" s="69"/>
      <c r="E11" s="69"/>
      <c r="F11" s="3">
        <f>'REALIZADO 2025'!D35*'PREVISTO 2026 REVISADO (2)'!$U$4</f>
        <v>372.17674999999997</v>
      </c>
      <c r="G11" s="3">
        <f>'REALIZADO 2025'!E35*'PREVISTO 2026 REVISADO (2)'!$U$4</f>
        <v>365.75</v>
      </c>
      <c r="H11" s="3">
        <f>'REALIZADO 2025'!F35*'PREVISTO 2026 REVISADO (2)'!$U$4</f>
        <v>937.05150000000003</v>
      </c>
      <c r="I11" s="3">
        <f>'REALIZADO 2025'!G35*'PREVISTO 2026 REVISADO (2)'!$U$4</f>
        <v>510.43024999999994</v>
      </c>
      <c r="J11" s="3">
        <f>'REALIZADO 2025'!H35*'PREVISTO 2026 REVISADO (2)'!$U$4</f>
        <v>320.76274999999998</v>
      </c>
      <c r="K11" s="3">
        <f>'REALIZADO 2025'!I35*'PREVISTO 2026 REVISADO (2)'!$U$4</f>
        <v>403.36999999999995</v>
      </c>
      <c r="L11" s="3">
        <f>'REALIZADO 2025'!J35*'PREVISTO 2026 REVISADO (2)'!$U$4</f>
        <v>1135.7059999999999</v>
      </c>
      <c r="M11" s="3">
        <f>'REALIZADO 2025'!K35*'PREVISTO 2026 REVISADO (2)'!$U$4</f>
        <v>406.45274999999998</v>
      </c>
      <c r="N11" s="3">
        <f>'REALIZADO 2025'!L35*'PREVISTO 2026 REVISADO (2)'!$U$4</f>
        <v>981.5162499999999</v>
      </c>
      <c r="O11" s="3">
        <f>'REALIZADO 2025'!M35*'PREVISTO 2026 REVISADO (2)'!$U$4</f>
        <v>919.80899999999997</v>
      </c>
      <c r="P11" s="3">
        <f>'REALIZADO 2025'!N35*'PREVISTO 2026 REVISADO (2)'!$U$4</f>
        <v>558.1345</v>
      </c>
      <c r="Q11" s="3">
        <f>'REALIZADO 2025'!O35*'PREVISTO 2026 REVISADO (2)'!$U$4</f>
        <v>328.75700000000001</v>
      </c>
      <c r="R11" s="25">
        <f t="shared" si="1"/>
        <v>7239.9167499999994</v>
      </c>
      <c r="S11" s="25">
        <f t="shared" si="2"/>
        <v>603.32639583333332</v>
      </c>
      <c r="T11" s="5"/>
    </row>
    <row r="12" spans="3:22" ht="12">
      <c r="C12" s="69" t="s">
        <v>26</v>
      </c>
      <c r="D12" s="69"/>
      <c r="E12" s="69"/>
      <c r="F12" s="3">
        <f>'REALIZADO 2025'!D36*'PREVISTO 2026 REVISADO (2)'!$U$4</f>
        <v>522.5</v>
      </c>
      <c r="G12" s="3">
        <f>'REALIZADO 2025'!E36*'PREVISTO 2026 REVISADO (2)'!$U$4</f>
        <v>0</v>
      </c>
      <c r="H12" s="3">
        <f>'REALIZADO 2025'!F36*'PREVISTO 2026 REVISADO (2)'!$U$4</f>
        <v>522.5</v>
      </c>
      <c r="I12" s="3">
        <f>'REALIZADO 2025'!G36*'PREVISTO 2026 REVISADO (2)'!$U$4</f>
        <v>522.5</v>
      </c>
      <c r="J12" s="3">
        <f>'REALIZADO 2025'!H36*'PREVISTO 2026 REVISADO (2)'!$U$4</f>
        <v>522.5</v>
      </c>
      <c r="K12" s="3">
        <f>'REALIZADO 2025'!I36*'PREVISTO 2026 REVISADO (2)'!$U$4</f>
        <v>522.5</v>
      </c>
      <c r="L12" s="3">
        <f>'REALIZADO 2025'!J36*'PREVISTO 2026 REVISADO (2)'!$U$4</f>
        <v>0</v>
      </c>
      <c r="M12" s="3">
        <f>'REALIZADO 2025'!K36*'PREVISTO 2026 REVISADO (2)'!$U$4</f>
        <v>522.5</v>
      </c>
      <c r="N12" s="3">
        <f>'REALIZADO 2025'!L36*'PREVISTO 2026 REVISADO (2)'!$U$4</f>
        <v>522.5</v>
      </c>
      <c r="O12" s="3">
        <f>'REALIZADO 2025'!M36*'PREVISTO 2026 REVISADO (2)'!$U$4</f>
        <v>522.5</v>
      </c>
      <c r="P12" s="3">
        <f>'REALIZADO 2025'!N36*'PREVISTO 2026 REVISADO (2)'!$U$4</f>
        <v>522.5</v>
      </c>
      <c r="Q12" s="3">
        <f>'REALIZADO 2025'!O36*'PREVISTO 2026 REVISADO (2)'!$U$4</f>
        <v>0</v>
      </c>
      <c r="R12" s="25">
        <f t="shared" si="1"/>
        <v>4702.5</v>
      </c>
      <c r="S12" s="25">
        <f t="shared" si="2"/>
        <v>391.875</v>
      </c>
      <c r="T12" s="5"/>
    </row>
    <row r="13" spans="3:22" ht="12">
      <c r="C13" s="69" t="s">
        <v>27</v>
      </c>
      <c r="D13" s="69"/>
      <c r="E13" s="69"/>
      <c r="F13" s="3">
        <f>'REALIZADO 2025'!D37*'PREVISTO 2026 REVISADO (2)'!$U$4</f>
        <v>0</v>
      </c>
      <c r="G13" s="3">
        <f>'REALIZADO 2025'!E37*'PREVISTO 2026 REVISADO (2)'!$U$4</f>
        <v>0</v>
      </c>
      <c r="H13" s="3">
        <f>'REALIZADO 2025'!F37*'PREVISTO 2026 REVISADO (2)'!$U$4</f>
        <v>0</v>
      </c>
      <c r="I13" s="3">
        <f>'REALIZADO 2025'!G37*'PREVISTO 2026 REVISADO (2)'!$U$4</f>
        <v>0</v>
      </c>
      <c r="J13" s="3">
        <f>'REALIZADO 2025'!H37*'PREVISTO 2026 REVISADO (2)'!$U$4</f>
        <v>0</v>
      </c>
      <c r="K13" s="3">
        <f>'REALIZADO 2025'!I37*'PREVISTO 2026 REVISADO (2)'!$U$4</f>
        <v>0</v>
      </c>
      <c r="L13" s="3">
        <f>'REALIZADO 2025'!J37*'PREVISTO 2026 REVISADO (2)'!$U$4</f>
        <v>0</v>
      </c>
      <c r="M13" s="3">
        <f>'REALIZADO 2025'!K37*'PREVISTO 2026 REVISADO (2)'!$U$4</f>
        <v>0</v>
      </c>
      <c r="N13" s="3">
        <f>'REALIZADO 2025'!L37*'PREVISTO 2026 REVISADO (2)'!$U$4</f>
        <v>0</v>
      </c>
      <c r="O13" s="3">
        <f>'REALIZADO 2025'!M37*'PREVISTO 2026 REVISADO (2)'!$U$4</f>
        <v>0</v>
      </c>
      <c r="P13" s="3">
        <f>'REALIZADO 2025'!N37*'PREVISTO 2026 REVISADO (2)'!$U$4</f>
        <v>0</v>
      </c>
      <c r="Q13" s="3">
        <f>'REALIZADO 2025'!O37*'PREVISTO 2026 REVISADO (2)'!$U$4</f>
        <v>1418.4307499999998</v>
      </c>
      <c r="R13" s="25">
        <f t="shared" si="1"/>
        <v>1418.4307499999998</v>
      </c>
      <c r="S13" s="25">
        <f t="shared" si="2"/>
        <v>118.20256249999998</v>
      </c>
      <c r="T13" s="5"/>
    </row>
    <row r="14" spans="3:22" ht="12">
      <c r="C14" s="69" t="s">
        <v>28</v>
      </c>
      <c r="D14" s="69"/>
      <c r="E14" s="69"/>
      <c r="F14" s="3">
        <f t="shared" ref="F14:Q14" si="3">5043.17*$U$4</f>
        <v>5270.11265</v>
      </c>
      <c r="G14" s="3">
        <f t="shared" si="3"/>
        <v>5270.11265</v>
      </c>
      <c r="H14" s="3">
        <f t="shared" si="3"/>
        <v>5270.11265</v>
      </c>
      <c r="I14" s="3">
        <f t="shared" si="3"/>
        <v>5270.11265</v>
      </c>
      <c r="J14" s="3">
        <f t="shared" si="3"/>
        <v>5270.11265</v>
      </c>
      <c r="K14" s="3">
        <f t="shared" si="3"/>
        <v>5270.11265</v>
      </c>
      <c r="L14" s="3">
        <f t="shared" si="3"/>
        <v>5270.11265</v>
      </c>
      <c r="M14" s="3">
        <f t="shared" si="3"/>
        <v>5270.11265</v>
      </c>
      <c r="N14" s="3">
        <f t="shared" si="3"/>
        <v>5270.11265</v>
      </c>
      <c r="O14" s="3">
        <f t="shared" si="3"/>
        <v>5270.11265</v>
      </c>
      <c r="P14" s="3">
        <f t="shared" si="3"/>
        <v>5270.11265</v>
      </c>
      <c r="Q14" s="3">
        <f t="shared" si="3"/>
        <v>5270.11265</v>
      </c>
      <c r="R14" s="25">
        <f t="shared" si="1"/>
        <v>63241.351800000011</v>
      </c>
      <c r="S14" s="25">
        <f t="shared" si="2"/>
        <v>5270.1126500000009</v>
      </c>
      <c r="T14" s="5"/>
    </row>
    <row r="15" spans="3:22" ht="12">
      <c r="C15" s="69" t="s">
        <v>29</v>
      </c>
      <c r="D15" s="69"/>
      <c r="E15" s="69"/>
      <c r="F15" s="3">
        <f t="shared" ref="F15:Q15" si="4">2570.4*$U$4</f>
        <v>2686.0679999999998</v>
      </c>
      <c r="G15" s="3">
        <f t="shared" si="4"/>
        <v>2686.0679999999998</v>
      </c>
      <c r="H15" s="3">
        <f t="shared" si="4"/>
        <v>2686.0679999999998</v>
      </c>
      <c r="I15" s="3">
        <f t="shared" si="4"/>
        <v>2686.0679999999998</v>
      </c>
      <c r="J15" s="3">
        <f t="shared" si="4"/>
        <v>2686.0679999999998</v>
      </c>
      <c r="K15" s="3">
        <f t="shared" si="4"/>
        <v>2686.0679999999998</v>
      </c>
      <c r="L15" s="3">
        <f t="shared" si="4"/>
        <v>2686.0679999999998</v>
      </c>
      <c r="M15" s="3">
        <f t="shared" si="4"/>
        <v>2686.0679999999998</v>
      </c>
      <c r="N15" s="3">
        <f t="shared" si="4"/>
        <v>2686.0679999999998</v>
      </c>
      <c r="O15" s="3">
        <f t="shared" si="4"/>
        <v>2686.0679999999998</v>
      </c>
      <c r="P15" s="3">
        <f t="shared" si="4"/>
        <v>2686.0679999999998</v>
      </c>
      <c r="Q15" s="3">
        <f t="shared" si="4"/>
        <v>2686.0679999999998</v>
      </c>
      <c r="R15" s="25">
        <f t="shared" si="1"/>
        <v>32232.815999999995</v>
      </c>
      <c r="S15" s="25">
        <f t="shared" si="2"/>
        <v>2686.0679999999998</v>
      </c>
      <c r="T15" s="5"/>
    </row>
    <row r="16" spans="3:22" ht="12">
      <c r="C16" s="69" t="s">
        <v>30</v>
      </c>
      <c r="D16" s="69"/>
      <c r="E16" s="69"/>
      <c r="F16" s="3">
        <f>'REALIZADO 2025'!D40*'PREVISTO 2026 REVISADO (2)'!$U$4</f>
        <v>0</v>
      </c>
      <c r="G16" s="3">
        <f>'REALIZADO 2025'!E40*'PREVISTO 2026 REVISADO (2)'!$U$4</f>
        <v>0</v>
      </c>
      <c r="H16" s="3">
        <f>'REALIZADO 2025'!F40*'PREVISTO 2026 REVISADO (2)'!$U$4</f>
        <v>68382.051649999994</v>
      </c>
      <c r="I16" s="3">
        <f>'REALIZADO 2025'!G40*'PREVISTO 2026 REVISADO (2)'!$U$4</f>
        <v>0</v>
      </c>
      <c r="J16" s="3">
        <f>'REALIZADO 2025'!H40*'PREVISTO 2026 REVISADO (2)'!$U$4</f>
        <v>0</v>
      </c>
      <c r="K16" s="3">
        <f>'REALIZADO 2025'!I40*'PREVISTO 2026 REVISADO (2)'!$U$4</f>
        <v>0</v>
      </c>
      <c r="L16" s="3">
        <f>'REALIZADO 2025'!J40*'PREVISTO 2026 REVISADO (2)'!$U$4</f>
        <v>0</v>
      </c>
      <c r="M16" s="3">
        <f>'REALIZADO 2025'!K40*'PREVISTO 2026 REVISADO (2)'!$U$4</f>
        <v>0</v>
      </c>
      <c r="N16" s="3">
        <f>'REALIZADO 2025'!L40*'PREVISTO 2026 REVISADO (2)'!$U$4</f>
        <v>0</v>
      </c>
      <c r="O16" s="3">
        <f>'REALIZADO 2025'!M40*'PREVISTO 2026 REVISADO (2)'!$U$4</f>
        <v>0</v>
      </c>
      <c r="P16" s="3">
        <f>'REALIZADO 2025'!N40*'PREVISTO 2026 REVISADO (2)'!$U$4</f>
        <v>0</v>
      </c>
      <c r="Q16" s="3">
        <f>'REALIZADO 2025'!O40*'PREVISTO 2026 REVISADO (2)'!$U$4</f>
        <v>0</v>
      </c>
      <c r="R16" s="25">
        <f t="shared" si="1"/>
        <v>68382.051649999994</v>
      </c>
      <c r="S16" s="25">
        <f t="shared" si="2"/>
        <v>5698.5043041666659</v>
      </c>
      <c r="T16" s="5"/>
    </row>
    <row r="17" spans="3:22" ht="12">
      <c r="C17" s="69" t="s">
        <v>31</v>
      </c>
      <c r="D17" s="69"/>
      <c r="E17" s="69"/>
      <c r="F17" s="3">
        <f>'REALIZADO 2025'!D41*'PREVISTO 2026 REVISADO (2)'!$U$4</f>
        <v>0</v>
      </c>
      <c r="G17" s="3">
        <f>'REALIZADO 2025'!E41*'PREVISTO 2026 REVISADO (2)'!$U$4</f>
        <v>0</v>
      </c>
      <c r="H17" s="3">
        <f>'REALIZADO 2025'!F41*'PREVISTO 2026 REVISADO (2)'!$U$4</f>
        <v>5540.2660499999993</v>
      </c>
      <c r="I17" s="3">
        <f>'REALIZADO 2025'!G41*'PREVISTO 2026 REVISADO (2)'!$U$4</f>
        <v>0</v>
      </c>
      <c r="J17" s="3">
        <f>'REALIZADO 2025'!H41*'PREVISTO 2026 REVISADO (2)'!$U$4</f>
        <v>0</v>
      </c>
      <c r="K17" s="3">
        <f>'REALIZADO 2025'!I41*'PREVISTO 2026 REVISADO (2)'!$U$4</f>
        <v>0</v>
      </c>
      <c r="L17" s="3">
        <f>'REALIZADO 2025'!J41*'PREVISTO 2026 REVISADO (2)'!$U$4</f>
        <v>0</v>
      </c>
      <c r="M17" s="3">
        <f>'REALIZADO 2025'!K41*'PREVISTO 2026 REVISADO (2)'!$U$4</f>
        <v>0</v>
      </c>
      <c r="N17" s="3">
        <f>'REALIZADO 2025'!L41*'PREVISTO 2026 REVISADO (2)'!$U$4</f>
        <v>0</v>
      </c>
      <c r="O17" s="3">
        <f>'REALIZADO 2025'!M41*'PREVISTO 2026 REVISADO (2)'!$U$4</f>
        <v>0</v>
      </c>
      <c r="P17" s="3">
        <f>'REALIZADO 2025'!N41*'PREVISTO 2026 REVISADO (2)'!$U$4</f>
        <v>0</v>
      </c>
      <c r="Q17" s="3">
        <f>'REALIZADO 2025'!O41*'PREVISTO 2026 REVISADO (2)'!$U$4</f>
        <v>0</v>
      </c>
      <c r="R17" s="25">
        <f t="shared" si="1"/>
        <v>5540.2660499999993</v>
      </c>
      <c r="S17" s="25">
        <f t="shared" si="2"/>
        <v>461.68883749999992</v>
      </c>
      <c r="T17" s="5"/>
    </row>
    <row r="18" spans="3:22" ht="12">
      <c r="C18" s="69" t="s">
        <v>32</v>
      </c>
      <c r="D18" s="69"/>
      <c r="E18" s="69"/>
      <c r="F18" s="3">
        <f>'REALIZADO 2025'!D42*'PREVISTO 2026 REVISADO (2)'!$U$4</f>
        <v>0</v>
      </c>
      <c r="G18" s="3">
        <f>'REALIZADO 2025'!E42*'PREVISTO 2026 REVISADO (2)'!$U$4</f>
        <v>0</v>
      </c>
      <c r="H18" s="3">
        <f>'REALIZADO 2025'!F42*'PREVISTO 2026 REVISADO (2)'!$U$4</f>
        <v>0</v>
      </c>
      <c r="I18" s="3">
        <f>'REALIZADO 2025'!G42*'PREVISTO 2026 REVISADO (2)'!$U$4</f>
        <v>0</v>
      </c>
      <c r="J18" s="3">
        <f>'REALIZADO 2025'!H42*'PREVISTO 2026 REVISADO (2)'!$U$4</f>
        <v>731.53134999999997</v>
      </c>
      <c r="K18" s="3">
        <f>'REALIZADO 2025'!I42*'PREVISTO 2026 REVISADO (2)'!$U$4</f>
        <v>0</v>
      </c>
      <c r="L18" s="3">
        <f>'REALIZADO 2025'!J42*'PREVISTO 2026 REVISADO (2)'!$U$4</f>
        <v>0</v>
      </c>
      <c r="M18" s="3">
        <f>'REALIZADO 2025'!K42*'PREVISTO 2026 REVISADO (2)'!$U$4</f>
        <v>0</v>
      </c>
      <c r="N18" s="3">
        <f>'REALIZADO 2025'!L42*'PREVISTO 2026 REVISADO (2)'!$U$4</f>
        <v>0</v>
      </c>
      <c r="O18" s="3">
        <f>'REALIZADO 2025'!M42*'PREVISTO 2026 REVISADO (2)'!$U$4</f>
        <v>0</v>
      </c>
      <c r="P18" s="3">
        <f>'REALIZADO 2025'!N42*'PREVISTO 2026 REVISADO (2)'!$U$4</f>
        <v>0</v>
      </c>
      <c r="Q18" s="3">
        <f>'REALIZADO 2025'!O42*'PREVISTO 2026 REVISADO (2)'!$U$4</f>
        <v>0</v>
      </c>
      <c r="R18" s="25">
        <f t="shared" si="1"/>
        <v>731.53134999999997</v>
      </c>
      <c r="S18" s="25">
        <f t="shared" si="2"/>
        <v>60.960945833333334</v>
      </c>
      <c r="T18" s="5"/>
    </row>
    <row r="19" spans="3:22" ht="12">
      <c r="C19" s="69" t="s">
        <v>33</v>
      </c>
      <c r="D19" s="69"/>
      <c r="E19" s="69"/>
      <c r="F19" s="3">
        <f>'REALIZADO 2025'!D43*'PREVISTO 2026 REVISADO (2)'!$U$4</f>
        <v>0</v>
      </c>
      <c r="G19" s="3">
        <f>'REALIZADO 2025'!E43*'PREVISTO 2026 REVISADO (2)'!$U$4</f>
        <v>0</v>
      </c>
      <c r="H19" s="3">
        <f>'REALIZADO 2025'!F43*'PREVISTO 2026 REVISADO (2)'!$U$4</f>
        <v>0</v>
      </c>
      <c r="I19" s="3">
        <f>'REALIZADO 2025'!G43*'PREVISTO 2026 REVISADO (2)'!$U$4</f>
        <v>0</v>
      </c>
      <c r="J19" s="3">
        <f>'REALIZADO 2025'!H43*'PREVISTO 2026 REVISADO (2)'!$U$4</f>
        <v>0</v>
      </c>
      <c r="K19" s="3">
        <f>'REALIZADO 2025'!I43*'PREVISTO 2026 REVISADO (2)'!$U$4</f>
        <v>1386.64185</v>
      </c>
      <c r="L19" s="3">
        <f>'REALIZADO 2025'!J43*'PREVISTO 2026 REVISADO (2)'!$U$4</f>
        <v>1386.64185</v>
      </c>
      <c r="M19" s="3">
        <f>'REALIZADO 2025'!K43*'PREVISTO 2026 REVISADO (2)'!$U$4</f>
        <v>1386.64185</v>
      </c>
      <c r="N19" s="3">
        <f>'REALIZADO 2025'!L43*'PREVISTO 2026 REVISADO (2)'!$U$4</f>
        <v>1386.64185</v>
      </c>
      <c r="O19" s="3">
        <f>'REALIZADO 2025'!M43*'PREVISTO 2026 REVISADO (2)'!$U$4</f>
        <v>1386.64185</v>
      </c>
      <c r="P19" s="3">
        <f>'REALIZADO 2025'!N43*'PREVISTO 2026 REVISADO (2)'!$U$4</f>
        <v>1386.7463499999999</v>
      </c>
      <c r="Q19" s="3">
        <f>'REALIZADO 2025'!O43*'PREVISTO 2026 REVISADO (2)'!$U$4</f>
        <v>0</v>
      </c>
      <c r="R19" s="25">
        <f t="shared" si="1"/>
        <v>8319.9555999999993</v>
      </c>
      <c r="S19" s="25">
        <f t="shared" si="2"/>
        <v>693.32963333333328</v>
      </c>
      <c r="T19" s="5"/>
    </row>
    <row r="20" spans="3:22" ht="12">
      <c r="C20" s="69" t="s">
        <v>34</v>
      </c>
      <c r="D20" s="69"/>
      <c r="E20" s="69"/>
      <c r="F20" s="3">
        <f>'REALIZADO 2025'!D44*'PREVISTO 2026 REVISADO (2)'!$U$4</f>
        <v>252.50334999999998</v>
      </c>
      <c r="G20" s="3">
        <f>'REALIZADO 2025'!E44*'PREVISTO 2026 REVISADO (2)'!$U$4</f>
        <v>62.072999999999993</v>
      </c>
      <c r="H20" s="3">
        <f>'REALIZADO 2025'!F44*'PREVISTO 2026 REVISADO (2)'!$U$4</f>
        <v>281.2722</v>
      </c>
      <c r="I20" s="3">
        <f>'REALIZADO 2025'!G44*'PREVISTO 2026 REVISADO (2)'!$U$4</f>
        <v>124.14599999999999</v>
      </c>
      <c r="J20" s="3">
        <f>'REALIZADO 2025'!H44*'PREVISTO 2026 REVISADO (2)'!$U$4</f>
        <v>0</v>
      </c>
      <c r="K20" s="3">
        <f>'REALIZADO 2025'!I44*'PREVISTO 2026 REVISADO (2)'!$U$4</f>
        <v>802.43459999999993</v>
      </c>
      <c r="L20" s="3">
        <f>'REALIZADO 2025'!J44*'PREVISTO 2026 REVISADO (2)'!$U$4</f>
        <v>754.37504999999999</v>
      </c>
      <c r="M20" s="3">
        <f>'REALIZADO 2025'!K44*'PREVISTO 2026 REVISADO (2)'!$U$4</f>
        <v>274.37520000000001</v>
      </c>
      <c r="N20" s="3">
        <f>'REALIZADO 2025'!L44*'PREVISTO 2026 REVISADO (2)'!$U$4</f>
        <v>0</v>
      </c>
      <c r="O20" s="3">
        <f>'REALIZADO 2025'!M44*'PREVISTO 2026 REVISADO (2)'!$U$4</f>
        <v>267.47820000000002</v>
      </c>
      <c r="P20" s="3">
        <f>'REALIZADO 2025'!N44*'PREVISTO 2026 REVISADO (2)'!$U$4</f>
        <v>0</v>
      </c>
      <c r="Q20" s="3">
        <f>'REALIZADO 2025'!O44*'PREVISTO 2026 REVISADO (2)'!$U$4</f>
        <v>0</v>
      </c>
      <c r="R20" s="25">
        <f t="shared" si="1"/>
        <v>2818.6576</v>
      </c>
      <c r="S20" s="25">
        <f t="shared" si="2"/>
        <v>234.88813333333334</v>
      </c>
      <c r="T20" s="5"/>
    </row>
    <row r="21" spans="3:22" ht="12">
      <c r="C21" s="69" t="s">
        <v>35</v>
      </c>
      <c r="D21" s="69"/>
      <c r="E21" s="69"/>
      <c r="F21" s="3">
        <f>'REALIZADO 2025'!D45*'PREVISTO 2026 REVISADO (2)'!$U$4</f>
        <v>0</v>
      </c>
      <c r="G21" s="3">
        <f>'REALIZADO 2025'!E45*'PREVISTO 2026 REVISADO (2)'!$U$4</f>
        <v>0</v>
      </c>
      <c r="H21" s="3">
        <f>'REALIZADO 2025'!F45*'PREVISTO 2026 REVISADO (2)'!$U$4</f>
        <v>0</v>
      </c>
      <c r="I21" s="3">
        <f>'REALIZADO 2025'!G45*'PREVISTO 2026 REVISADO (2)'!$U$4</f>
        <v>0</v>
      </c>
      <c r="J21" s="3">
        <f>'REALIZADO 2025'!H45*'PREVISTO 2026 REVISADO (2)'!$U$4</f>
        <v>0</v>
      </c>
      <c r="K21" s="3">
        <f>'REALIZADO 2025'!I45*'PREVISTO 2026 REVISADO (2)'!$U$4</f>
        <v>0</v>
      </c>
      <c r="L21" s="3">
        <f>'REALIZADO 2025'!J45*'PREVISTO 2026 REVISADO (2)'!$U$4</f>
        <v>0</v>
      </c>
      <c r="M21" s="3">
        <f>'REALIZADO 2025'!K45*'PREVISTO 2026 REVISADO (2)'!$U$4</f>
        <v>0</v>
      </c>
      <c r="N21" s="3">
        <f>'REALIZADO 2025'!L45*'PREVISTO 2026 REVISADO (2)'!$U$4</f>
        <v>3262.6258499999999</v>
      </c>
      <c r="O21" s="3">
        <f>'REALIZADO 2025'!M45*'PREVISTO 2026 REVISADO (2)'!$U$4</f>
        <v>0</v>
      </c>
      <c r="P21" s="3">
        <f>'REALIZADO 2025'!N45*'PREVISTO 2026 REVISADO (2)'!$U$4</f>
        <v>0</v>
      </c>
      <c r="Q21" s="3">
        <f>'REALIZADO 2025'!O45*'PREVISTO 2026 REVISADO (2)'!$U$4</f>
        <v>0</v>
      </c>
      <c r="R21" s="25">
        <f t="shared" si="1"/>
        <v>3262.6258499999999</v>
      </c>
      <c r="S21" s="25">
        <f t="shared" si="2"/>
        <v>271.88548750000001</v>
      </c>
      <c r="T21" s="5"/>
    </row>
    <row r="22" spans="3:22" ht="12">
      <c r="C22" s="78" t="s">
        <v>36</v>
      </c>
      <c r="D22" s="78"/>
      <c r="E22" s="78"/>
      <c r="F22" s="7">
        <f>SUM(F23:F37)</f>
        <v>154479.97080000001</v>
      </c>
      <c r="G22" s="7">
        <f t="shared" ref="G22:Q22" si="5">SUM(G23:G37)</f>
        <v>112015.20240000001</v>
      </c>
      <c r="H22" s="7">
        <f t="shared" si="5"/>
        <v>94533.512400000007</v>
      </c>
      <c r="I22" s="7">
        <f t="shared" si="5"/>
        <v>129753.64080000001</v>
      </c>
      <c r="J22" s="7">
        <f t="shared" si="5"/>
        <v>99742.989600000015</v>
      </c>
      <c r="K22" s="7">
        <f t="shared" si="5"/>
        <v>125942.12639999998</v>
      </c>
      <c r="L22" s="7">
        <f t="shared" si="5"/>
        <v>124648.0704</v>
      </c>
      <c r="M22" s="7">
        <f t="shared" si="5"/>
        <v>100689.32880000002</v>
      </c>
      <c r="N22" s="7">
        <f t="shared" si="5"/>
        <v>114748.04520000001</v>
      </c>
      <c r="O22" s="7">
        <f t="shared" si="5"/>
        <v>109260.1764</v>
      </c>
      <c r="P22" s="7">
        <f t="shared" si="5"/>
        <v>113782.26600000002</v>
      </c>
      <c r="Q22" s="7">
        <f t="shared" si="5"/>
        <v>135303.16680000001</v>
      </c>
      <c r="R22" s="10">
        <f>SUM(R23:R37)</f>
        <v>1483394.4444000002</v>
      </c>
      <c r="S22" s="27">
        <f>R22/12</f>
        <v>123616.20370000001</v>
      </c>
      <c r="T22" s="15" t="s">
        <v>18</v>
      </c>
      <c r="U22" s="16">
        <v>1.08</v>
      </c>
      <c r="V22" s="17">
        <v>0.08</v>
      </c>
    </row>
    <row r="23" spans="3:22" ht="12">
      <c r="C23" s="69" t="s">
        <v>37</v>
      </c>
      <c r="D23" s="69"/>
      <c r="E23" s="69"/>
      <c r="F23" s="3">
        <f>'REALIZADO 2025'!D47*'PREVISTO 2026 REVISADO (2)'!$U$22</f>
        <v>52560.36</v>
      </c>
      <c r="G23" s="3">
        <f>'REALIZADO 2025'!E47*'PREVISTO 2026 REVISADO (2)'!$U$22</f>
        <v>50335.560000000005</v>
      </c>
      <c r="H23" s="3">
        <f>'REALIZADO 2025'!F47*'PREVISTO 2026 REVISADO (2)'!$U$22</f>
        <v>47781.36</v>
      </c>
      <c r="I23" s="3">
        <f>'REALIZADO 2025'!G47*'PREVISTO 2026 REVISADO (2)'!$U$22</f>
        <v>51606.720000000001</v>
      </c>
      <c r="J23" s="3">
        <f>'REALIZADO 2025'!H47*'PREVISTO 2026 REVISADO (2)'!$U$22</f>
        <v>47565.36</v>
      </c>
      <c r="K23" s="3">
        <f>'REALIZADO 2025'!I47*'PREVISTO 2026 REVISADO (2)'!$U$22</f>
        <v>51570.432000000008</v>
      </c>
      <c r="L23" s="3">
        <f>'REALIZADO 2025'!J47*'PREVISTO 2026 REVISADO (2)'!$U$22</f>
        <v>52953.48</v>
      </c>
      <c r="M23" s="3">
        <f>'REALIZADO 2025'!K47*'PREVISTO 2026 REVISADO (2)'!$U$22</f>
        <v>47341.8</v>
      </c>
      <c r="N23" s="3">
        <f>'REALIZADO 2025'!L47*'PREVISTO 2026 REVISADO (2)'!$U$22</f>
        <v>47569.464000000007</v>
      </c>
      <c r="O23" s="3">
        <f>'REALIZADO 2025'!M47*'PREVISTO 2026 REVISADO (2)'!$U$22</f>
        <v>51982.560000000005</v>
      </c>
      <c r="P23" s="3">
        <f>'REALIZADO 2025'!N47*'PREVISTO 2026 REVISADO (2)'!$U$22</f>
        <v>57653.640000000007</v>
      </c>
      <c r="Q23" s="3">
        <f>'REALIZADO 2025'!O47*'PREVISTO 2026 REVISADO (2)'!$U$22</f>
        <v>57690.36</v>
      </c>
      <c r="R23" s="25">
        <f>SUM(F23:Q23)</f>
        <v>616611.09600000002</v>
      </c>
      <c r="S23" s="25">
        <f t="shared" si="2"/>
        <v>51384.258000000002</v>
      </c>
      <c r="T23" s="5"/>
    </row>
    <row r="24" spans="3:22" ht="12">
      <c r="C24" s="69" t="s">
        <v>38</v>
      </c>
      <c r="D24" s="69"/>
      <c r="E24" s="69"/>
      <c r="F24" s="3">
        <f>'REALIZADO 2025'!D48*'PREVISTO 2026 REVISADO (2)'!$U$22</f>
        <v>23252.497200000002</v>
      </c>
      <c r="G24" s="3">
        <f>'REALIZADO 2025'!E48*'PREVISTO 2026 REVISADO (2)'!$U$22</f>
        <v>15102.039600000002</v>
      </c>
      <c r="H24" s="3">
        <f>'REALIZADO 2025'!F48*'PREVISTO 2026 REVISADO (2)'!$U$22</f>
        <v>6936.1164000000008</v>
      </c>
      <c r="I24" s="3">
        <f>'REALIZADO 2025'!G48*'PREVISTO 2026 REVISADO (2)'!$U$22</f>
        <v>23643.932400000002</v>
      </c>
      <c r="J24" s="3">
        <f>'REALIZADO 2025'!H48*'PREVISTO 2026 REVISADO (2)'!$U$22</f>
        <v>16979.241600000001</v>
      </c>
      <c r="K24" s="3">
        <f>'REALIZADO 2025'!I48*'PREVISTO 2026 REVISADO (2)'!$U$22</f>
        <v>21597.6024</v>
      </c>
      <c r="L24" s="3">
        <f>'REALIZADO 2025'!J48*'PREVISTO 2026 REVISADO (2)'!$U$22</f>
        <v>16055.701200000001</v>
      </c>
      <c r="M24" s="3">
        <f>'REALIZADO 2025'!K48*'PREVISTO 2026 REVISADO (2)'!$U$22</f>
        <v>17160.498000000003</v>
      </c>
      <c r="N24" s="3">
        <f>'REALIZADO 2025'!L48*'PREVISTO 2026 REVISADO (2)'!$U$22</f>
        <v>16563.841199999999</v>
      </c>
      <c r="O24" s="3">
        <f>'REALIZADO 2025'!M48*'PREVISTO 2026 REVISADO (2)'!$U$22</f>
        <v>17580.941999999999</v>
      </c>
      <c r="P24" s="3">
        <f>'REALIZADO 2025'!N48*'PREVISTO 2026 REVISADO (2)'!$U$22</f>
        <v>18011.2356</v>
      </c>
      <c r="Q24" s="3">
        <f>'REALIZADO 2025'!O48*'PREVISTO 2026 REVISADO (2)'!$U$22</f>
        <v>17840.4444</v>
      </c>
      <c r="R24" s="25">
        <f>SUM(F24:Q24)</f>
        <v>210724.09200000003</v>
      </c>
      <c r="S24" s="25">
        <f t="shared" si="2"/>
        <v>17560.341000000004</v>
      </c>
      <c r="T24" s="5"/>
    </row>
    <row r="25" spans="3:22" ht="12">
      <c r="C25" s="69" t="s">
        <v>39</v>
      </c>
      <c r="D25" s="69"/>
      <c r="E25" s="69"/>
      <c r="F25" s="3">
        <f>'REALIZADO 2025'!D49*'PREVISTO 2026 REVISADO (2)'!$U$22</f>
        <v>77.652000000000015</v>
      </c>
      <c r="G25" s="3">
        <f>'REALIZADO 2025'!E49*'PREVISTO 2026 REVISADO (2)'!$U$22</f>
        <v>847.41120000000001</v>
      </c>
      <c r="H25" s="3">
        <f>'REALIZADO 2025'!F49*'PREVISTO 2026 REVISADO (2)'!$U$22</f>
        <v>342.91079999999999</v>
      </c>
      <c r="I25" s="3">
        <f>'REALIZADO 2025'!G49*'PREVISTO 2026 REVISADO (2)'!$U$22</f>
        <v>528.44400000000007</v>
      </c>
      <c r="J25" s="3">
        <f>'REALIZADO 2025'!H49*'PREVISTO 2026 REVISADO (2)'!$U$22</f>
        <v>1798.74</v>
      </c>
      <c r="K25" s="3">
        <f>'REALIZADO 2025'!I49*'PREVISTO 2026 REVISADO (2)'!$U$22</f>
        <v>1893.7800000000002</v>
      </c>
      <c r="L25" s="3">
        <f>'REALIZADO 2025'!J49*'PREVISTO 2026 REVISADO (2)'!$U$22</f>
        <v>539.78399999999999</v>
      </c>
      <c r="M25" s="3">
        <f>'REALIZADO 2025'!K49*'PREVISTO 2026 REVISADO (2)'!$U$22</f>
        <v>0</v>
      </c>
      <c r="N25" s="3">
        <f>'REALIZADO 2025'!L49*'PREVISTO 2026 REVISADO (2)'!$U$22</f>
        <v>400.58280000000008</v>
      </c>
      <c r="O25" s="3">
        <f>'REALIZADO 2025'!M49*'PREVISTO 2026 REVISADO (2)'!$U$22</f>
        <v>0</v>
      </c>
      <c r="P25" s="3">
        <f>'REALIZADO 2025'!N49*'PREVISTO 2026 REVISADO (2)'!$U$22</f>
        <v>1374.4620000000002</v>
      </c>
      <c r="Q25" s="3">
        <f>'REALIZADO 2025'!O49*'PREVISTO 2026 REVISADO (2)'!$U$22</f>
        <v>1808.298</v>
      </c>
      <c r="R25" s="25">
        <v>12000</v>
      </c>
      <c r="S25" s="25">
        <f t="shared" si="2"/>
        <v>1000</v>
      </c>
      <c r="T25" s="5"/>
    </row>
    <row r="26" spans="3:22" ht="12">
      <c r="C26" s="69" t="s">
        <v>40</v>
      </c>
      <c r="D26" s="69"/>
      <c r="E26" s="69"/>
      <c r="F26" s="3">
        <f>'REALIZADO 2025'!D50*'PREVISTO 2026 REVISADO (2)'!$U$22</f>
        <v>266.14440000000002</v>
      </c>
      <c r="G26" s="3">
        <f>'REALIZADO 2025'!E50*'PREVISTO 2026 REVISADO (2)'!$U$22</f>
        <v>263.25</v>
      </c>
      <c r="H26" s="3">
        <f>'REALIZADO 2025'!F50*'PREVISTO 2026 REVISADO (2)'!$U$22</f>
        <v>291.56760000000003</v>
      </c>
      <c r="I26" s="3">
        <f>'REALIZADO 2025'!G50*'PREVISTO 2026 REVISADO (2)'!$U$22</f>
        <v>278.78039999999999</v>
      </c>
      <c r="J26" s="3">
        <f>'REALIZADO 2025'!H50*'PREVISTO 2026 REVISADO (2)'!$U$22</f>
        <v>235.62360000000001</v>
      </c>
      <c r="K26" s="3">
        <f>'REALIZADO 2025'!I50*'PREVISTO 2026 REVISADO (2)'!$U$22</f>
        <v>247.70880000000002</v>
      </c>
      <c r="L26" s="3">
        <f>'REALIZADO 2025'!J50*'PREVISTO 2026 REVISADO (2)'!$U$22</f>
        <v>248.4</v>
      </c>
      <c r="M26" s="3">
        <f>'REALIZADO 2025'!K50*'PREVISTO 2026 REVISADO (2)'!$U$22</f>
        <v>248.4</v>
      </c>
      <c r="N26" s="3">
        <f>'REALIZADO 2025'!L50*'PREVISTO 2026 REVISADO (2)'!$U$22</f>
        <v>422.20440000000002</v>
      </c>
      <c r="O26" s="3">
        <f>'REALIZADO 2025'!M50*'PREVISTO 2026 REVISADO (2)'!$U$22</f>
        <v>316.64520000000005</v>
      </c>
      <c r="P26" s="3">
        <f>'REALIZADO 2025'!N50*'PREVISTO 2026 REVISADO (2)'!$U$22</f>
        <v>324.65880000000004</v>
      </c>
      <c r="Q26" s="3">
        <f>'REALIZADO 2025'!O50*'PREVISTO 2026 REVISADO (2)'!$U$22</f>
        <v>308.62080000000003</v>
      </c>
      <c r="R26" s="25">
        <f t="shared" ref="R26:R35" si="6">SUM(F26:Q26)</f>
        <v>3452.0040000000004</v>
      </c>
      <c r="S26" s="25">
        <f t="shared" si="2"/>
        <v>287.66700000000003</v>
      </c>
      <c r="T26" s="5"/>
    </row>
    <row r="27" spans="3:22" ht="12">
      <c r="C27" s="69" t="s">
        <v>41</v>
      </c>
      <c r="D27" s="69"/>
      <c r="E27" s="69"/>
      <c r="F27" s="3">
        <f>'REALIZADO 2025'!D51*'PREVISTO 2026 REVISADO (2)'!$U$22</f>
        <v>0</v>
      </c>
      <c r="G27" s="3">
        <f>'REALIZADO 2025'!E51*'PREVISTO 2026 REVISADO (2)'!$U$22</f>
        <v>0</v>
      </c>
      <c r="H27" s="3">
        <f>'REALIZADO 2025'!F51*'PREVISTO 2026 REVISADO (2)'!$U$22</f>
        <v>0</v>
      </c>
      <c r="I27" s="3">
        <f>'REALIZADO 2025'!G51*'PREVISTO 2026 REVISADO (2)'!$U$22</f>
        <v>0</v>
      </c>
      <c r="J27" s="3">
        <f>'REALIZADO 2025'!H51*'PREVISTO 2026 REVISADO (2)'!$U$22</f>
        <v>0</v>
      </c>
      <c r="K27" s="3">
        <f>'REALIZADO 2025'!I51*'PREVISTO 2026 REVISADO (2)'!$U$22</f>
        <v>0</v>
      </c>
      <c r="L27" s="3">
        <f>'REALIZADO 2025'!J51*'PREVISTO 2026 REVISADO (2)'!$U$22</f>
        <v>0</v>
      </c>
      <c r="M27" s="3">
        <f>'REALIZADO 2025'!K51*'PREVISTO 2026 REVISADO (2)'!$U$22</f>
        <v>0</v>
      </c>
      <c r="N27" s="3">
        <f>'REALIZADO 2025'!L51*'PREVISTO 2026 REVISADO (2)'!$U$22</f>
        <v>0</v>
      </c>
      <c r="O27" s="3">
        <f>'REALIZADO 2025'!M51*'PREVISTO 2026 REVISADO (2)'!$U$22</f>
        <v>0</v>
      </c>
      <c r="P27" s="3">
        <f>'REALIZADO 2025'!N51*'PREVISTO 2026 REVISADO (2)'!$U$22</f>
        <v>2153.1960000000004</v>
      </c>
      <c r="Q27" s="3">
        <f>'REALIZADO 2025'!O51*'PREVISTO 2026 REVISADO (2)'!$U$22</f>
        <v>51.062400000000004</v>
      </c>
      <c r="R27" s="25">
        <f t="shared" si="6"/>
        <v>2204.2584000000002</v>
      </c>
      <c r="S27" s="25">
        <f t="shared" si="2"/>
        <v>183.68820000000002</v>
      </c>
      <c r="T27" s="5"/>
    </row>
    <row r="28" spans="3:22" ht="12">
      <c r="C28" s="69" t="s">
        <v>42</v>
      </c>
      <c r="D28" s="69"/>
      <c r="E28" s="69"/>
      <c r="F28" s="3">
        <f>'REALIZADO 2025'!D52*'PREVISTO 2026 REVISADO (2)'!$U$22</f>
        <v>3033.6120000000001</v>
      </c>
      <c r="G28" s="3">
        <f>'REALIZADO 2025'!E52*'PREVISTO 2026 REVISADO (2)'!$U$22</f>
        <v>3616.2720000000004</v>
      </c>
      <c r="H28" s="3">
        <f>'REALIZADO 2025'!F52*'PREVISTO 2026 REVISADO (2)'!$U$22</f>
        <v>1596.8879999999999</v>
      </c>
      <c r="I28" s="3">
        <f>'REALIZADO 2025'!G52*'PREVISTO 2026 REVISADO (2)'!$U$22</f>
        <v>788.40000000000009</v>
      </c>
      <c r="J28" s="3">
        <f>'REALIZADO 2025'!H52*'PREVISTO 2026 REVISADO (2)'!$U$22</f>
        <v>0</v>
      </c>
      <c r="K28" s="3">
        <f>'REALIZADO 2025'!I52*'PREVISTO 2026 REVISADO (2)'!$U$22</f>
        <v>1690.0596</v>
      </c>
      <c r="L28" s="3">
        <f>'REALIZADO 2025'!J52*'PREVISTO 2026 REVISADO (2)'!$U$22</f>
        <v>0</v>
      </c>
      <c r="M28" s="3">
        <f>'REALIZADO 2025'!K52*'PREVISTO 2026 REVISADO (2)'!$U$22</f>
        <v>0</v>
      </c>
      <c r="N28" s="3">
        <f>'REALIZADO 2025'!L52*'PREVISTO 2026 REVISADO (2)'!$U$22</f>
        <v>0</v>
      </c>
      <c r="O28" s="3">
        <f>'REALIZADO 2025'!M52*'PREVISTO 2026 REVISADO (2)'!$U$22</f>
        <v>571.19040000000007</v>
      </c>
      <c r="P28" s="3">
        <f>'REALIZADO 2025'!N52*'PREVISTO 2026 REVISADO (2)'!$U$22</f>
        <v>0</v>
      </c>
      <c r="Q28" s="3">
        <f>'REALIZADO 2025'!O52*'PREVISTO 2026 REVISADO (2)'!$U$22</f>
        <v>0</v>
      </c>
      <c r="R28" s="25">
        <f t="shared" si="6"/>
        <v>11296.422</v>
      </c>
      <c r="S28" s="25">
        <f t="shared" si="2"/>
        <v>941.36850000000004</v>
      </c>
      <c r="T28" s="5"/>
    </row>
    <row r="29" spans="3:22" ht="12">
      <c r="C29" s="69" t="s">
        <v>43</v>
      </c>
      <c r="D29" s="69"/>
      <c r="E29" s="69"/>
      <c r="F29" s="3">
        <f>'REALIZADO 2025'!D53*'PREVISTO 2026 REVISADO (2)'!$U$22</f>
        <v>319.59360000000004</v>
      </c>
      <c r="G29" s="3">
        <f>'REALIZADO 2025'!E53*'PREVISTO 2026 REVISADO (2)'!$U$22</f>
        <v>319.59360000000004</v>
      </c>
      <c r="H29" s="3">
        <f>'REALIZADO 2025'!F53*'PREVISTO 2026 REVISADO (2)'!$U$22</f>
        <v>319.59360000000004</v>
      </c>
      <c r="I29" s="3">
        <f>'REALIZADO 2025'!G53*'PREVISTO 2026 REVISADO (2)'!$U$22</f>
        <v>319.59360000000004</v>
      </c>
      <c r="J29" s="3">
        <f>'REALIZADO 2025'!H53*'PREVISTO 2026 REVISADO (2)'!$U$22</f>
        <v>332.80200000000002</v>
      </c>
      <c r="K29" s="3">
        <f>'REALIZADO 2025'!I53*'PREVISTO 2026 REVISADO (2)'!$U$22</f>
        <v>332.80200000000002</v>
      </c>
      <c r="L29" s="3">
        <f>'REALIZADO 2025'!J53*'PREVISTO 2026 REVISADO (2)'!$U$22</f>
        <v>332.80200000000002</v>
      </c>
      <c r="M29" s="3">
        <f>'REALIZADO 2025'!K53*'PREVISTO 2026 REVISADO (2)'!$U$22</f>
        <v>332.80200000000002</v>
      </c>
      <c r="N29" s="3">
        <f>'REALIZADO 2025'!L53*'PREVISTO 2026 REVISADO (2)'!$U$22</f>
        <v>332.80200000000002</v>
      </c>
      <c r="O29" s="3">
        <f>'REALIZADO 2025'!M53*'PREVISTO 2026 REVISADO (2)'!$U$22</f>
        <v>332.80200000000002</v>
      </c>
      <c r="P29" s="3">
        <f>'REALIZADO 2025'!N53*'PREVISTO 2026 REVISADO (2)'!$U$22</f>
        <v>534.53520000000003</v>
      </c>
      <c r="Q29" s="3">
        <f>'REALIZADO 2025'!O53*'PREVISTO 2026 REVISADO (2)'!$U$22</f>
        <v>534.53520000000003</v>
      </c>
      <c r="R29" s="25">
        <f t="shared" si="6"/>
        <v>4344.256800000001</v>
      </c>
      <c r="S29" s="25">
        <f t="shared" si="2"/>
        <v>362.02140000000009</v>
      </c>
      <c r="T29" s="5"/>
    </row>
    <row r="30" spans="3:22" ht="12">
      <c r="C30" s="69" t="s">
        <v>44</v>
      </c>
      <c r="D30" s="69"/>
      <c r="E30" s="69"/>
      <c r="F30" s="3">
        <f>'REALIZADO 2025'!D54*'PREVISTO 2026 REVISADO (2)'!$U$22</f>
        <v>324</v>
      </c>
      <c r="G30" s="3">
        <f>'REALIZADO 2025'!E54*'PREVISTO 2026 REVISADO (2)'!$U$22</f>
        <v>324</v>
      </c>
      <c r="H30" s="3">
        <f>'REALIZADO 2025'!F54*'PREVISTO 2026 REVISADO (2)'!$U$22</f>
        <v>367.20000000000005</v>
      </c>
      <c r="I30" s="3">
        <f>'REALIZADO 2025'!G54*'PREVISTO 2026 REVISADO (2)'!$U$22</f>
        <v>345.6</v>
      </c>
      <c r="J30" s="3">
        <f>'REALIZADO 2025'!H54*'PREVISTO 2026 REVISADO (2)'!$U$22</f>
        <v>345.6</v>
      </c>
      <c r="K30" s="3">
        <f>'REALIZADO 2025'!I54*'PREVISTO 2026 REVISADO (2)'!$U$22</f>
        <v>324</v>
      </c>
      <c r="L30" s="3">
        <f>'REALIZADO 2025'!J54*'PREVISTO 2026 REVISADO (2)'!$U$22</f>
        <v>302.40000000000003</v>
      </c>
      <c r="M30" s="3">
        <f>'REALIZADO 2025'!K54*'PREVISTO 2026 REVISADO (2)'!$U$22</f>
        <v>324</v>
      </c>
      <c r="N30" s="3">
        <f>'REALIZADO 2025'!L54*'PREVISTO 2026 REVISADO (2)'!$U$22</f>
        <v>324</v>
      </c>
      <c r="O30" s="3">
        <f>'REALIZADO 2025'!M54*'PREVISTO 2026 REVISADO (2)'!$U$22</f>
        <v>324</v>
      </c>
      <c r="P30" s="3">
        <f>'REALIZADO 2025'!N54*'PREVISTO 2026 REVISADO (2)'!$U$22</f>
        <v>0</v>
      </c>
      <c r="Q30" s="3">
        <f>'REALIZADO 2025'!O54*'PREVISTO 2026 REVISADO (2)'!$U$22</f>
        <v>0</v>
      </c>
      <c r="R30" s="25">
        <f t="shared" si="6"/>
        <v>3304.8</v>
      </c>
      <c r="S30" s="25">
        <f t="shared" si="2"/>
        <v>275.40000000000003</v>
      </c>
      <c r="T30" s="5"/>
    </row>
    <row r="31" spans="3:22" ht="12">
      <c r="C31" s="69" t="s">
        <v>45</v>
      </c>
      <c r="D31" s="69"/>
      <c r="E31" s="69"/>
      <c r="F31" s="3">
        <f>'REALIZADO 2025'!D55*'PREVISTO 2026 REVISADO (2)'!$U$22</f>
        <v>0</v>
      </c>
      <c r="G31" s="3">
        <f>'REALIZADO 2025'!E55*'PREVISTO 2026 REVISADO (2)'!$U$22</f>
        <v>0</v>
      </c>
      <c r="H31" s="3">
        <f>'REALIZADO 2025'!F55*'PREVISTO 2026 REVISADO (2)'!$U$22</f>
        <v>0</v>
      </c>
      <c r="I31" s="3">
        <f>'REALIZADO 2025'!G55*'PREVISTO 2026 REVISADO (2)'!$U$22</f>
        <v>0</v>
      </c>
      <c r="J31" s="3">
        <f>'REALIZADO 2025'!H55*'PREVISTO 2026 REVISADO (2)'!$U$22</f>
        <v>0</v>
      </c>
      <c r="K31" s="3">
        <f>'REALIZADO 2025'!I55*'PREVISTO 2026 REVISADO (2)'!$U$22</f>
        <v>0</v>
      </c>
      <c r="L31" s="3">
        <f>'REALIZADO 2025'!J55*'PREVISTO 2026 REVISADO (2)'!$U$22</f>
        <v>0</v>
      </c>
      <c r="M31" s="3">
        <f>'REALIZADO 2025'!K55*'PREVISTO 2026 REVISADO (2)'!$U$22</f>
        <v>0</v>
      </c>
      <c r="N31" s="3">
        <f>'REALIZADO 2025'!L55*'PREVISTO 2026 REVISADO (2)'!$U$22</f>
        <v>0</v>
      </c>
      <c r="O31" s="3">
        <f>'REALIZADO 2025'!M55*'PREVISTO 2026 REVISADO (2)'!$U$22</f>
        <v>0</v>
      </c>
      <c r="P31" s="3">
        <f>'REALIZADO 2025'!N55*'PREVISTO 2026 REVISADO (2)'!$U$22</f>
        <v>345.6</v>
      </c>
      <c r="Q31" s="3">
        <f>'REALIZADO 2025'!O55*'PREVISTO 2026 REVISADO (2)'!$U$22</f>
        <v>367.20000000000005</v>
      </c>
      <c r="R31" s="25">
        <f t="shared" si="6"/>
        <v>712.80000000000007</v>
      </c>
      <c r="S31" s="25">
        <f t="shared" si="2"/>
        <v>59.400000000000006</v>
      </c>
      <c r="T31" s="5"/>
    </row>
    <row r="32" spans="3:22" ht="12">
      <c r="C32" s="69" t="s">
        <v>46</v>
      </c>
      <c r="D32" s="69"/>
      <c r="E32" s="69"/>
      <c r="F32" s="3">
        <f>'REALIZADO 2025'!D57*'PREVISTO 2026 REVISADO (2)'!$U$22</f>
        <v>26005.406400000003</v>
      </c>
      <c r="G32" s="3">
        <f>'REALIZADO 2025'!E57*'PREVISTO 2026 REVISADO (2)'!$U$22</f>
        <v>25600.212000000003</v>
      </c>
      <c r="H32" s="3">
        <f>'REALIZADO 2025'!F57*'PREVISTO 2026 REVISADO (2)'!$U$22</f>
        <v>24219.0108</v>
      </c>
      <c r="I32" s="3">
        <f>'REALIZADO 2025'!G57*'PREVISTO 2026 REVISADO (2)'!$U$22</f>
        <v>24259.932000000004</v>
      </c>
      <c r="J32" s="3">
        <f>'REALIZADO 2025'!H57*'PREVISTO 2026 REVISADO (2)'!$U$22</f>
        <v>26176.942800000001</v>
      </c>
      <c r="K32" s="3">
        <f>'REALIZADO 2025'!I57*'PREVISTO 2026 REVISADO (2)'!$U$22</f>
        <v>27497.815200000001</v>
      </c>
      <c r="L32" s="3">
        <f>'REALIZADO 2025'!J57*'PREVISTO 2026 REVISADO (2)'!$U$22</f>
        <v>29137.2984</v>
      </c>
      <c r="M32" s="3">
        <f>'REALIZADO 2025'!K57*'PREVISTO 2026 REVISADO (2)'!$U$22</f>
        <v>28422.446400000004</v>
      </c>
      <c r="N32" s="3">
        <f>'REALIZADO 2025'!L57*'PREVISTO 2026 REVISADO (2)'!$U$22</f>
        <v>26628.6636</v>
      </c>
      <c r="O32" s="3">
        <f>'REALIZADO 2025'!M57*'PREVISTO 2026 REVISADO (2)'!$U$22</f>
        <v>27083.484</v>
      </c>
      <c r="P32" s="3">
        <f>'REALIZADO 2025'!N57*'PREVISTO 2026 REVISADO (2)'!$U$22</f>
        <v>27159.613200000003</v>
      </c>
      <c r="Q32" s="3">
        <f>'REALIZADO 2025'!O57*'PREVISTO 2026 REVISADO (2)'!$U$22</f>
        <v>29389.878000000001</v>
      </c>
      <c r="R32" s="25">
        <f t="shared" si="6"/>
        <v>321580.70280000009</v>
      </c>
      <c r="S32" s="25">
        <f t="shared" si="2"/>
        <v>26798.391900000006</v>
      </c>
      <c r="T32" s="5"/>
    </row>
    <row r="33" spans="3:22" ht="12">
      <c r="C33" s="69" t="s">
        <v>47</v>
      </c>
      <c r="D33" s="69"/>
      <c r="E33" s="69"/>
      <c r="F33" s="3">
        <f>'REALIZADO 2025'!D58*'PREVISTO 2026 REVISADO (2)'!$U$22</f>
        <v>5940.0108000000009</v>
      </c>
      <c r="G33" s="3">
        <f>'REALIZADO 2025'!E58*'PREVISTO 2026 REVISADO (2)'!$U$22</f>
        <v>6738.3576000000003</v>
      </c>
      <c r="H33" s="3">
        <f>'REALIZADO 2025'!F58*'PREVISTO 2026 REVISADO (2)'!$U$22</f>
        <v>4368.8159999999998</v>
      </c>
      <c r="I33" s="3">
        <f>'REALIZADO 2025'!G58*'PREVISTO 2026 REVISADO (2)'!$U$22</f>
        <v>4458.0024000000003</v>
      </c>
      <c r="J33" s="3">
        <f>'REALIZADO 2025'!H58*'PREVISTO 2026 REVISADO (2)'!$U$22</f>
        <v>4821.5196000000005</v>
      </c>
      <c r="K33" s="3">
        <f>'REALIZADO 2025'!I58*'PREVISTO 2026 REVISADO (2)'!$U$22</f>
        <v>4989.3083999999999</v>
      </c>
      <c r="L33" s="3">
        <f>'REALIZADO 2025'!J58*'PREVISTO 2026 REVISADO (2)'!$U$22</f>
        <v>5267.2031999999999</v>
      </c>
      <c r="M33" s="3">
        <f>'REALIZADO 2025'!K58*'PREVISTO 2026 REVISADO (2)'!$U$22</f>
        <v>5605.5024000000003</v>
      </c>
      <c r="N33" s="3">
        <f>'REALIZADO 2025'!L58*'PREVISTO 2026 REVISADO (2)'!$U$22</f>
        <v>5774.9868000000006</v>
      </c>
      <c r="O33" s="3">
        <f>'REALIZADO 2025'!M58*'PREVISTO 2026 REVISADO (2)'!$U$22</f>
        <v>5973.220800000001</v>
      </c>
      <c r="P33" s="3">
        <f>'REALIZADO 2025'!N58*'PREVISTO 2026 REVISADO (2)'!$U$22</f>
        <v>5566.5252</v>
      </c>
      <c r="Q33" s="3">
        <f>'REALIZADO 2025'!O58*'PREVISTO 2026 REVISADO (2)'!$U$22</f>
        <v>6208.4880000000012</v>
      </c>
      <c r="R33" s="25">
        <f t="shared" si="6"/>
        <v>65711.941200000001</v>
      </c>
      <c r="S33" s="25">
        <f t="shared" si="2"/>
        <v>5475.9951000000001</v>
      </c>
      <c r="T33" s="5"/>
    </row>
    <row r="34" spans="3:22" ht="12">
      <c r="C34" s="69" t="s">
        <v>48</v>
      </c>
      <c r="D34" s="69"/>
      <c r="E34" s="69"/>
      <c r="F34" s="3">
        <f>'REALIZADO 2025'!D59*'PREVISTO 2026 REVISADO (2)'!$U$22</f>
        <v>0</v>
      </c>
      <c r="G34" s="3">
        <f>'REALIZADO 2025'!E59*'PREVISTO 2026 REVISADO (2)'!$U$22</f>
        <v>0</v>
      </c>
      <c r="H34" s="3">
        <f>'REALIZADO 2025'!F59*'PREVISTO 2026 REVISADO (2)'!$U$22</f>
        <v>6453.5291999999999</v>
      </c>
      <c r="I34" s="3">
        <f>'REALIZADO 2025'!G59*'PREVISTO 2026 REVISADO (2)'!$U$22</f>
        <v>9554.8356000000003</v>
      </c>
      <c r="J34" s="3">
        <f>'REALIZADO 2025'!H59*'PREVISTO 2026 REVISADO (2)'!$U$22</f>
        <v>0</v>
      </c>
      <c r="K34" s="3">
        <f>'REALIZADO 2025'!I59*'PREVISTO 2026 REVISADO (2)'!$U$22</f>
        <v>14145.570000000002</v>
      </c>
      <c r="L34" s="3">
        <f>'REALIZADO 2025'!J59*'PREVISTO 2026 REVISADO (2)'!$U$22</f>
        <v>18469.641600000003</v>
      </c>
      <c r="M34" s="3">
        <f>'REALIZADO 2025'!K59*'PREVISTO 2026 REVISADO (2)'!$U$22</f>
        <v>0</v>
      </c>
      <c r="N34" s="3">
        <f>'REALIZADO 2025'!L59*'PREVISTO 2026 REVISADO (2)'!$U$22</f>
        <v>4852.5804000000007</v>
      </c>
      <c r="O34" s="3">
        <f>'REALIZADO 2025'!M59*'PREVISTO 2026 REVISADO (2)'!$U$22</f>
        <v>3890.0520000000001</v>
      </c>
      <c r="P34" s="3">
        <f>'REALIZADO 2025'!N59*'PREVISTO 2026 REVISADO (2)'!$U$22</f>
        <v>0</v>
      </c>
      <c r="Q34" s="3">
        <f>'REALIZADO 2025'!O59*'PREVISTO 2026 REVISADO (2)'!$U$22</f>
        <v>0</v>
      </c>
      <c r="R34" s="25">
        <f t="shared" si="6"/>
        <v>57366.208800000008</v>
      </c>
      <c r="S34" s="25">
        <f t="shared" si="2"/>
        <v>4780.5174000000006</v>
      </c>
      <c r="T34" s="5"/>
    </row>
    <row r="35" spans="3:22" ht="12">
      <c r="C35" s="69" t="s">
        <v>49</v>
      </c>
      <c r="D35" s="69"/>
      <c r="E35" s="69"/>
      <c r="F35" s="3">
        <f>'REALIZADO 2025'!D60*'PREVISTO 2026 REVISADO (2)'!$U$22</f>
        <v>41884.214400000004</v>
      </c>
      <c r="G35" s="3">
        <f>'REALIZADO 2025'!E60*'PREVISTO 2026 REVISADO (2)'!$U$22</f>
        <v>0</v>
      </c>
      <c r="H35" s="3">
        <f>'REALIZADO 2025'!F60*'PREVISTO 2026 REVISADO (2)'!$U$22</f>
        <v>0</v>
      </c>
      <c r="I35" s="3">
        <f>'REALIZADO 2025'!G60*'PREVISTO 2026 REVISADO (2)'!$U$22</f>
        <v>0</v>
      </c>
      <c r="J35" s="3">
        <f>'REALIZADO 2025'!H60*'PREVISTO 2026 REVISADO (2)'!$U$22</f>
        <v>0</v>
      </c>
      <c r="K35" s="3">
        <f>'REALIZADO 2025'!I60*'PREVISTO 2026 REVISADO (2)'!$U$22</f>
        <v>0</v>
      </c>
      <c r="L35" s="3">
        <f>'REALIZADO 2025'!J60*'PREVISTO 2026 REVISADO (2)'!$U$22</f>
        <v>0</v>
      </c>
      <c r="M35" s="3">
        <f>'REALIZADO 2025'!K60*'PREVISTO 2026 REVISADO (2)'!$U$22</f>
        <v>0</v>
      </c>
      <c r="N35" s="3">
        <f>'REALIZADO 2025'!L60*'PREVISTO 2026 REVISADO (2)'!$U$22</f>
        <v>9835.5600000000013</v>
      </c>
      <c r="O35" s="3">
        <f>'REALIZADO 2025'!M60*'PREVISTO 2026 REVISADO (2)'!$U$22</f>
        <v>0</v>
      </c>
      <c r="P35" s="3">
        <f>'REALIZADO 2025'!N60*'PREVISTO 2026 REVISADO (2)'!$U$22</f>
        <v>0</v>
      </c>
      <c r="Q35" s="3">
        <f>'REALIZADO 2025'!O60*'PREVISTO 2026 REVISADO (2)'!$U$22</f>
        <v>20089.080000000002</v>
      </c>
      <c r="R35" s="25">
        <f t="shared" si="6"/>
        <v>71808.854400000011</v>
      </c>
      <c r="S35" s="25">
        <f t="shared" si="2"/>
        <v>5984.0712000000012</v>
      </c>
      <c r="T35" s="5"/>
    </row>
    <row r="36" spans="3:22" ht="12">
      <c r="C36" s="69" t="s">
        <v>50</v>
      </c>
      <c r="D36" s="69"/>
      <c r="E36" s="69"/>
      <c r="F36" s="3">
        <f>'REALIZADO 2025'!D61*'PREVISTO 2026 REVISADO (2)'!$U$22</f>
        <v>0</v>
      </c>
      <c r="G36" s="3">
        <f>'REALIZADO 2025'!E61*'PREVISTO 2026 REVISADO (2)'!$U$22</f>
        <v>7352.1864000000005</v>
      </c>
      <c r="H36" s="3">
        <f>'REALIZADO 2025'!F61*'PREVISTO 2026 REVISADO (2)'!$U$22</f>
        <v>0</v>
      </c>
      <c r="I36" s="3">
        <f>'REALIZADO 2025'!G61*'PREVISTO 2026 REVISADO (2)'!$U$22</f>
        <v>13862.4804</v>
      </c>
      <c r="J36" s="3">
        <f>'REALIZADO 2025'!H61*'PREVISTO 2026 REVISADO (2)'!$U$22</f>
        <v>0</v>
      </c>
      <c r="K36" s="3">
        <f>'REALIZADO 2025'!I61*'PREVISTO 2026 REVISADO (2)'!$U$22</f>
        <v>0</v>
      </c>
      <c r="L36" s="3">
        <f>'REALIZADO 2025'!J61*'PREVISTO 2026 REVISADO (2)'!$U$22</f>
        <v>0</v>
      </c>
      <c r="M36" s="3">
        <f>'REALIZADO 2025'!K61*'PREVISTO 2026 REVISADO (2)'!$U$22</f>
        <v>0</v>
      </c>
      <c r="N36" s="3">
        <f>'REALIZADO 2025'!L61*'PREVISTO 2026 REVISADO (2)'!$U$22</f>
        <v>1003.32</v>
      </c>
      <c r="O36" s="3">
        <f>'REALIZADO 2025'!M61*'PREVISTO 2026 REVISADO (2)'!$U$22</f>
        <v>0</v>
      </c>
      <c r="P36" s="3">
        <f>'REALIZADO 2025'!N61*'PREVISTO 2026 REVISADO (2)'!$U$22</f>
        <v>658.80000000000007</v>
      </c>
      <c r="Q36" s="3">
        <f>'REALIZADO 2025'!O61*'PREVISTO 2026 REVISADO (2)'!$U$22</f>
        <v>1015.2</v>
      </c>
      <c r="R36" s="25">
        <v>90000</v>
      </c>
      <c r="S36" s="25">
        <f t="shared" si="2"/>
        <v>7500</v>
      </c>
      <c r="T36" s="5"/>
    </row>
    <row r="37" spans="3:22" ht="12">
      <c r="C37" s="69" t="s">
        <v>51</v>
      </c>
      <c r="D37" s="69"/>
      <c r="E37" s="69"/>
      <c r="F37" s="3">
        <f>'REALIZADO 2025'!D62*'PREVISTO 2026 REVISADO (2)'!$U$22</f>
        <v>816.48</v>
      </c>
      <c r="G37" s="3">
        <f>'REALIZADO 2025'!E62*'PREVISTO 2026 REVISADO (2)'!$U$22</f>
        <v>1516.3200000000002</v>
      </c>
      <c r="H37" s="3">
        <f>'REALIZADO 2025'!F62*'PREVISTO 2026 REVISADO (2)'!$U$22</f>
        <v>1856.5200000000002</v>
      </c>
      <c r="I37" s="3">
        <f>'REALIZADO 2025'!G62*'PREVISTO 2026 REVISADO (2)'!$U$22</f>
        <v>106.92</v>
      </c>
      <c r="J37" s="3">
        <f>'REALIZADO 2025'!H62*'PREVISTO 2026 REVISADO (2)'!$U$22</f>
        <v>1487.16</v>
      </c>
      <c r="K37" s="3">
        <f>'REALIZADO 2025'!I62*'PREVISTO 2026 REVISADO (2)'!$U$22</f>
        <v>1653.048</v>
      </c>
      <c r="L37" s="3">
        <f>'REALIZADO 2025'!J62*'PREVISTO 2026 REVISADO (2)'!$U$22</f>
        <v>1341.3600000000001</v>
      </c>
      <c r="M37" s="3">
        <f>'REALIZADO 2025'!K62*'PREVISTO 2026 REVISADO (2)'!$U$22</f>
        <v>1253.8800000000001</v>
      </c>
      <c r="N37" s="3">
        <f>'REALIZADO 2025'!L62*'PREVISTO 2026 REVISADO (2)'!$U$22</f>
        <v>1040.04</v>
      </c>
      <c r="O37" s="3">
        <f>'REALIZADO 2025'!M62*'PREVISTO 2026 REVISADO (2)'!$U$22</f>
        <v>1205.28</v>
      </c>
      <c r="P37" s="3">
        <f>'REALIZADO 2025'!N62*'PREVISTO 2026 REVISADO (2)'!$U$22</f>
        <v>0</v>
      </c>
      <c r="Q37" s="3">
        <f>'REALIZADO 2025'!O62*'PREVISTO 2026 REVISADO (2)'!$U$22</f>
        <v>0</v>
      </c>
      <c r="R37" s="25">
        <f>SUM(F37:Q37)</f>
        <v>12277.008000000003</v>
      </c>
      <c r="S37" s="25">
        <f t="shared" si="2"/>
        <v>1023.0840000000003</v>
      </c>
      <c r="T37" s="5"/>
    </row>
    <row r="38" spans="3:22" ht="12.75" customHeight="1">
      <c r="C38" s="78" t="s">
        <v>52</v>
      </c>
      <c r="D38" s="78"/>
      <c r="E38" s="78"/>
      <c r="F38" s="7">
        <f t="shared" ref="F38:R38" si="7">F39+F55+F68+F72</f>
        <v>48895.278299999998</v>
      </c>
      <c r="G38" s="7">
        <f t="shared" si="7"/>
        <v>40170.980849999993</v>
      </c>
      <c r="H38" s="7">
        <f t="shared" si="7"/>
        <v>45046.553749999999</v>
      </c>
      <c r="I38" s="7">
        <f t="shared" si="7"/>
        <v>48792.711549999993</v>
      </c>
      <c r="J38" s="7">
        <f t="shared" si="7"/>
        <v>77235.740999999995</v>
      </c>
      <c r="K38" s="7">
        <f t="shared" si="7"/>
        <v>75126.429399999994</v>
      </c>
      <c r="L38" s="7">
        <f t="shared" si="7"/>
        <v>57768.373299999992</v>
      </c>
      <c r="M38" s="7">
        <f t="shared" si="7"/>
        <v>45237.297599999991</v>
      </c>
      <c r="N38" s="7">
        <f t="shared" si="7"/>
        <v>51282.664399999994</v>
      </c>
      <c r="O38" s="7">
        <f t="shared" si="7"/>
        <v>73807.608049999995</v>
      </c>
      <c r="P38" s="7">
        <f t="shared" si="7"/>
        <v>35404.401450000005</v>
      </c>
      <c r="Q38" s="7">
        <f t="shared" si="7"/>
        <v>42287.555199999995</v>
      </c>
      <c r="R38" s="10">
        <f t="shared" si="7"/>
        <v>638498.6235499999</v>
      </c>
      <c r="S38" s="27">
        <f>R38/12</f>
        <v>53208.218629166659</v>
      </c>
      <c r="T38" s="15" t="s">
        <v>18</v>
      </c>
      <c r="U38" s="16">
        <v>1.0449999999999999</v>
      </c>
      <c r="V38" s="17">
        <v>4.4999999999999998E-2</v>
      </c>
    </row>
    <row r="39" spans="3:22" ht="12" customHeight="1">
      <c r="C39" s="74" t="s">
        <v>53</v>
      </c>
      <c r="D39" s="74"/>
      <c r="E39" s="74"/>
      <c r="F39" s="8">
        <f>SUM(F40:F48)</f>
        <v>11772.990900000001</v>
      </c>
      <c r="G39" s="8">
        <f>SUM(G40:G48)</f>
        <v>6239.1620499999999</v>
      </c>
      <c r="H39" s="8">
        <f t="shared" ref="H39:Q39" si="8">SUM(H40:H48)</f>
        <v>4612.3374000000003</v>
      </c>
      <c r="I39" s="8">
        <f t="shared" si="8"/>
        <v>5200.2335000000003</v>
      </c>
      <c r="J39" s="8">
        <f t="shared" si="8"/>
        <v>55340.148599999993</v>
      </c>
      <c r="K39" s="8">
        <f t="shared" si="8"/>
        <v>52472.271499999995</v>
      </c>
      <c r="L39" s="8">
        <f t="shared" si="8"/>
        <v>32692.501049999992</v>
      </c>
      <c r="M39" s="8">
        <f t="shared" si="8"/>
        <v>16665.377849999997</v>
      </c>
      <c r="N39" s="8">
        <f t="shared" si="8"/>
        <v>18314.283349999998</v>
      </c>
      <c r="O39" s="8">
        <f t="shared" si="8"/>
        <v>43240.114499999996</v>
      </c>
      <c r="P39" s="8">
        <f t="shared" si="8"/>
        <v>12986.591200000001</v>
      </c>
      <c r="Q39" s="8">
        <f t="shared" si="8"/>
        <v>24886.110699999997</v>
      </c>
      <c r="R39" s="9">
        <f>SUM(R40:R54)</f>
        <v>332522.30804999999</v>
      </c>
      <c r="S39" s="28">
        <f>R39/12</f>
        <v>27710.192337500001</v>
      </c>
      <c r="T39" s="5"/>
      <c r="V39" s="58"/>
    </row>
    <row r="40" spans="3:22" ht="12">
      <c r="C40" s="69" t="s">
        <v>54</v>
      </c>
      <c r="D40" s="69"/>
      <c r="E40" s="69"/>
      <c r="F40" s="3">
        <f>'REALIZADO 2025'!D65*'PREVISTO 2026 REVISADO (2)'!$U$38</f>
        <v>1550.68595</v>
      </c>
      <c r="G40" s="3">
        <f>'REALIZADO 2025'!E65*'PREVISTO 2026 REVISADO (2)'!$U$38</f>
        <v>470.24999999999994</v>
      </c>
      <c r="H40" s="3">
        <f>'REALIZADO 2025'!F65*'PREVISTO 2026 REVISADO (2)'!$U$38</f>
        <v>1302.07</v>
      </c>
      <c r="I40" s="3">
        <f>'REALIZADO 2025'!G65*'PREVISTO 2026 REVISADO (2)'!$U$38</f>
        <v>767.64654999999993</v>
      </c>
      <c r="J40" s="3">
        <f>'REALIZADO 2025'!H65*'PREVISTO 2026 REVISADO (2)'!$U$38</f>
        <v>8109.0954999999994</v>
      </c>
      <c r="K40" s="3">
        <f>'REALIZADO 2025'!I65*'PREVISTO 2026 REVISADO (2)'!$U$38</f>
        <v>9680.8799999999992</v>
      </c>
      <c r="L40" s="3">
        <f>'REALIZADO 2025'!J65*'PREVISTO 2026 REVISADO (2)'!$U$38</f>
        <v>1657.37</v>
      </c>
      <c r="M40" s="3">
        <f>'REALIZADO 2025'!K65*'PREVISTO 2026 REVISADO (2)'!$U$38</f>
        <v>5182.4684999999999</v>
      </c>
      <c r="N40" s="3">
        <f>'REALIZADO 2025'!L65*'PREVISTO 2026 REVISADO (2)'!$U$38</f>
        <v>326.03999999999996</v>
      </c>
      <c r="O40" s="3">
        <f>'REALIZADO 2025'!M65*'PREVISTO 2026 REVISADO (2)'!$U$38</f>
        <v>1660.93345</v>
      </c>
      <c r="P40" s="3">
        <f>'REALIZADO 2025'!N65*'PREVISTO 2026 REVISADO (2)'!$U$38</f>
        <v>1413.2161999999998</v>
      </c>
      <c r="Q40" s="3">
        <f>'REALIZADO 2025'!O65*'PREVISTO 2026 REVISADO (2)'!$U$38</f>
        <v>1478.9467</v>
      </c>
      <c r="R40" s="4">
        <v>63600</v>
      </c>
      <c r="S40" s="25">
        <f t="shared" si="2"/>
        <v>5300</v>
      </c>
      <c r="T40" s="5"/>
      <c r="V40" s="58"/>
    </row>
    <row r="41" spans="3:22" ht="12">
      <c r="C41" s="69" t="s">
        <v>55</v>
      </c>
      <c r="D41" s="69"/>
      <c r="E41" s="69"/>
      <c r="F41" s="3">
        <f>'REALIZADO 2025'!D67*'PREVISTO 2026 REVISADO (2)'!$U$38</f>
        <v>0</v>
      </c>
      <c r="G41" s="3">
        <f>'REALIZADO 2025'!E67*'PREVISTO 2026 REVISADO (2)'!$U$38</f>
        <v>0</v>
      </c>
      <c r="H41" s="3">
        <f>'REALIZADO 2025'!F67*'PREVISTO 2026 REVISADO (2)'!$U$38</f>
        <v>0</v>
      </c>
      <c r="I41" s="3">
        <f>'REALIZADO 2025'!G67*'PREVISTO 2026 REVISADO (2)'!$U$38</f>
        <v>0</v>
      </c>
      <c r="J41" s="3">
        <f>'REALIZADO 2025'!H67*'PREVISTO 2026 REVISADO (2)'!$U$38</f>
        <v>0</v>
      </c>
      <c r="K41" s="3">
        <f>'REALIZADO 2025'!I67*'PREVISTO 2026 REVISADO (2)'!$U$38</f>
        <v>468.99599999999998</v>
      </c>
      <c r="L41" s="3">
        <f>'REALIZADO 2025'!J67*'PREVISTO 2026 REVISADO (2)'!$U$38</f>
        <v>0</v>
      </c>
      <c r="M41" s="3">
        <f>'REALIZADO 2025'!K67*'PREVISTO 2026 REVISADO (2)'!$U$38</f>
        <v>0</v>
      </c>
      <c r="N41" s="3">
        <f>'REALIZADO 2025'!L67*'PREVISTO 2026 REVISADO (2)'!$U$38</f>
        <v>0</v>
      </c>
      <c r="O41" s="3">
        <f>'REALIZADO 2025'!M67*'PREVISTO 2026 REVISADO (2)'!$U$38</f>
        <v>0</v>
      </c>
      <c r="P41" s="3">
        <f>'REALIZADO 2025'!N67*'PREVISTO 2026 REVISADO (2)'!$U$38</f>
        <v>0</v>
      </c>
      <c r="Q41" s="3">
        <f>'REALIZADO 2025'!O67*'PREVISTO 2026 REVISADO (2)'!$U$38</f>
        <v>1730.1228999999998</v>
      </c>
      <c r="R41" s="4">
        <f>SUM(F41:Q41)</f>
        <v>2199.1188999999999</v>
      </c>
      <c r="S41" s="25">
        <f t="shared" si="2"/>
        <v>183.25990833333333</v>
      </c>
      <c r="T41" s="5"/>
      <c r="V41" s="58"/>
    </row>
    <row r="42" spans="3:22" ht="12">
      <c r="C42" s="69" t="s">
        <v>56</v>
      </c>
      <c r="D42" s="69"/>
      <c r="E42" s="69"/>
      <c r="F42" s="3">
        <f>'REALIZADO 2025'!D68*'PREVISTO 2026 REVISADO (2)'!$U$38</f>
        <v>3193.8857499999995</v>
      </c>
      <c r="G42" s="3">
        <f>'REALIZADO 2025'!E68*'PREVISTO 2026 REVISADO (2)'!$U$38</f>
        <v>491.15</v>
      </c>
      <c r="H42" s="3">
        <f>'REALIZADO 2025'!F68*'PREVISTO 2026 REVISADO (2)'!$U$38</f>
        <v>778.52499999999998</v>
      </c>
      <c r="I42" s="3">
        <f>'REALIZADO 2025'!G68*'PREVISTO 2026 REVISADO (2)'!$U$38</f>
        <v>1744.0527499999998</v>
      </c>
      <c r="J42" s="3">
        <f>'REALIZADO 2025'!H68*'PREVISTO 2026 REVISADO (2)'!$U$38</f>
        <v>39798.062149999991</v>
      </c>
      <c r="K42" s="3">
        <f>'REALIZADO 2025'!I68*'PREVISTO 2026 REVISADO (2)'!$U$38</f>
        <v>33495.207349999997</v>
      </c>
      <c r="L42" s="3">
        <f>'REALIZADO 2025'!J68*'PREVISTO 2026 REVISADO (2)'!$U$38</f>
        <v>22087.861949999999</v>
      </c>
      <c r="M42" s="3">
        <f>'REALIZADO 2025'!K68*'PREVISTO 2026 REVISADO (2)'!$U$38</f>
        <v>5523.6296499999999</v>
      </c>
      <c r="N42" s="3">
        <f>'REALIZADO 2025'!L68*'PREVISTO 2026 REVISADO (2)'!$U$38</f>
        <v>4473.3732999999993</v>
      </c>
      <c r="O42" s="3">
        <f>'REALIZADO 2025'!M68*'PREVISTO 2026 REVISADO (2)'!$U$38</f>
        <v>26085.613949999999</v>
      </c>
      <c r="P42" s="3">
        <f>'REALIZADO 2025'!N68*'PREVISTO 2026 REVISADO (2)'!$U$38</f>
        <v>263.86249999999995</v>
      </c>
      <c r="Q42" s="3">
        <f>'REALIZADO 2025'!O68*'PREVISTO 2026 REVISADO (2)'!$U$38</f>
        <v>8769.3787499999999</v>
      </c>
      <c r="R42" s="4">
        <v>24000</v>
      </c>
      <c r="S42" s="25">
        <f t="shared" si="2"/>
        <v>2000</v>
      </c>
      <c r="T42" s="5"/>
      <c r="V42" s="58"/>
    </row>
    <row r="43" spans="3:22" ht="12">
      <c r="C43" s="69" t="s">
        <v>57</v>
      </c>
      <c r="D43" s="69"/>
      <c r="E43" s="69"/>
      <c r="F43" s="3">
        <f>'REALIZADO 2025'!D69*'PREVISTO 2026 REVISADO (2)'!$U$38</f>
        <v>610.80250000000001</v>
      </c>
      <c r="G43" s="3">
        <f>'REALIZADO 2025'!E69*'PREVISTO 2026 REVISADO (2)'!$U$38</f>
        <v>485.03674999999993</v>
      </c>
      <c r="H43" s="3">
        <f>'REALIZADO 2025'!F69*'PREVISTO 2026 REVISADO (2)'!$U$38</f>
        <v>192.42629999999997</v>
      </c>
      <c r="I43" s="3">
        <f>'REALIZADO 2025'!G69*'PREVISTO 2026 REVISADO (2)'!$U$38</f>
        <v>62.699999999999996</v>
      </c>
      <c r="J43" s="3">
        <f>'REALIZADO 2025'!H69*'PREVISTO 2026 REVISADO (2)'!$U$38</f>
        <v>3135</v>
      </c>
      <c r="K43" s="3">
        <f>'REALIZADO 2025'!I69*'PREVISTO 2026 REVISADO (2)'!$U$38</f>
        <v>5643</v>
      </c>
      <c r="L43" s="3">
        <f>'REALIZADO 2025'!J69*'PREVISTO 2026 REVISADO (2)'!$U$38</f>
        <v>0</v>
      </c>
      <c r="M43" s="3">
        <f>'REALIZADO 2025'!K69*'PREVISTO 2026 REVISADO (2)'!$U$38</f>
        <v>401.22774999999996</v>
      </c>
      <c r="N43" s="3">
        <f>'REALIZADO 2025'!L69*'PREVISTO 2026 REVISADO (2)'!$U$38</f>
        <v>731.80304999999987</v>
      </c>
      <c r="O43" s="3">
        <f>'REALIZADO 2025'!M69*'PREVISTO 2026 REVISADO (2)'!$U$38</f>
        <v>840.25315000000001</v>
      </c>
      <c r="P43" s="3">
        <f>'REALIZADO 2025'!N69*'PREVISTO 2026 REVISADO (2)'!$U$38</f>
        <v>5714.4257500000003</v>
      </c>
      <c r="Q43" s="3">
        <f>'REALIZADO 2025'!O69*'PREVISTO 2026 REVISADO (2)'!$U$38</f>
        <v>6967.1194999999998</v>
      </c>
      <c r="R43" s="4">
        <v>16000</v>
      </c>
      <c r="S43" s="25">
        <f t="shared" si="2"/>
        <v>1333.3333333333333</v>
      </c>
      <c r="T43" s="5"/>
    </row>
    <row r="44" spans="3:22" ht="12">
      <c r="C44" s="69" t="s">
        <v>58</v>
      </c>
      <c r="D44" s="69"/>
      <c r="E44" s="69"/>
      <c r="F44" s="3">
        <f>'REALIZADO 2025'!D70*'PREVISTO 2026 REVISADO (2)'!$U$38</f>
        <v>554.51879999999994</v>
      </c>
      <c r="G44" s="3">
        <f>'REALIZADO 2025'!E70*'PREVISTO 2026 REVISADO (2)'!$U$38</f>
        <v>0</v>
      </c>
      <c r="H44" s="3">
        <f>'REALIZADO 2025'!F70*'PREVISTO 2026 REVISADO (2)'!$U$38</f>
        <v>0</v>
      </c>
      <c r="I44" s="3">
        <f>'REALIZADO 2025'!G70*'PREVISTO 2026 REVISADO (2)'!$U$38</f>
        <v>0</v>
      </c>
      <c r="J44" s="3">
        <f>'REALIZADO 2025'!H70*'PREVISTO 2026 REVISADO (2)'!$U$38</f>
        <v>0</v>
      </c>
      <c r="K44" s="3">
        <f>'REALIZADO 2025'!I70*'PREVISTO 2026 REVISADO (2)'!$U$38</f>
        <v>0</v>
      </c>
      <c r="L44" s="3">
        <f>'REALIZADO 2025'!J70*'PREVISTO 2026 REVISADO (2)'!$U$38</f>
        <v>0</v>
      </c>
      <c r="M44" s="3">
        <f>'REALIZADO 2025'!K70*'PREVISTO 2026 REVISADO (2)'!$U$38</f>
        <v>0</v>
      </c>
      <c r="N44" s="3">
        <f>'REALIZADO 2025'!L70*'PREVISTO 2026 REVISADO (2)'!$U$38</f>
        <v>2001.5825499999999</v>
      </c>
      <c r="O44" s="3">
        <f>'REALIZADO 2025'!M70*'PREVISTO 2026 REVISADO (2)'!$U$38</f>
        <v>1340.87085</v>
      </c>
      <c r="P44" s="3">
        <f>'REALIZADO 2025'!N70*'PREVISTO 2026 REVISADO (2)'!$U$38</f>
        <v>1602.9255000000001</v>
      </c>
      <c r="Q44" s="3">
        <f>'REALIZADO 2025'!O70*'PREVISTO 2026 REVISADO (2)'!$U$38</f>
        <v>271.7</v>
      </c>
      <c r="R44" s="4">
        <f>SUM(F44:Q44)</f>
        <v>5771.5977000000003</v>
      </c>
      <c r="S44" s="25">
        <f t="shared" si="2"/>
        <v>480.966475</v>
      </c>
      <c r="T44" s="5"/>
    </row>
    <row r="45" spans="3:22" ht="12">
      <c r="C45" s="69" t="s">
        <v>59</v>
      </c>
      <c r="D45" s="69"/>
      <c r="E45" s="69"/>
      <c r="F45" s="3">
        <f>'REALIZADO 2025'!D71*'PREVISTO 2026 REVISADO (2)'!$U$38</f>
        <v>0</v>
      </c>
      <c r="G45" s="3">
        <f>'REALIZADO 2025'!E71*'PREVISTO 2026 REVISADO (2)'!$U$38</f>
        <v>0</v>
      </c>
      <c r="H45" s="3">
        <f>'REALIZADO 2025'!F71*'PREVISTO 2026 REVISADO (2)'!$U$38</f>
        <v>0</v>
      </c>
      <c r="I45" s="3">
        <f>'REALIZADO 2025'!G71*'PREVISTO 2026 REVISADO (2)'!$U$38</f>
        <v>0</v>
      </c>
      <c r="J45" s="3">
        <f>'REALIZADO 2025'!H71*'PREVISTO 2026 REVISADO (2)'!$U$38</f>
        <v>0</v>
      </c>
      <c r="K45" s="3">
        <f>'REALIZADO 2025'!I71*'PREVISTO 2026 REVISADO (2)'!$U$38</f>
        <v>0</v>
      </c>
      <c r="L45" s="3">
        <f>'REALIZADO 2025'!J71*'PREVISTO 2026 REVISADO (2)'!$U$38</f>
        <v>1440.01</v>
      </c>
      <c r="M45" s="3">
        <f>'REALIZADO 2025'!K71*'PREVISTO 2026 REVISADO (2)'!$U$38</f>
        <v>543.4</v>
      </c>
      <c r="N45" s="3">
        <f>'REALIZADO 2025'!L71*'PREVISTO 2026 REVISADO (2)'!$U$38</f>
        <v>6565.202049999999</v>
      </c>
      <c r="O45" s="3">
        <f>'REALIZADO 2025'!M71*'PREVISTO 2026 REVISADO (2)'!$U$38</f>
        <v>1681.9588499999998</v>
      </c>
      <c r="P45" s="3">
        <f>'REALIZADO 2025'!N71*'PREVISTO 2026 REVISADO (2)'!$U$38</f>
        <v>1688.6572999999999</v>
      </c>
      <c r="Q45" s="3">
        <f>'REALIZADO 2025'!O71*'PREVISTO 2026 REVISADO (2)'!$U$38</f>
        <v>683.3463999999999</v>
      </c>
      <c r="R45" s="4">
        <f>SUM(F45:Q45)</f>
        <v>12602.574599999998</v>
      </c>
      <c r="S45" s="25">
        <f t="shared" si="2"/>
        <v>1050.2145499999999</v>
      </c>
      <c r="T45" s="5"/>
    </row>
    <row r="46" spans="3:22" ht="12">
      <c r="C46" s="69" t="s">
        <v>60</v>
      </c>
      <c r="D46" s="69"/>
      <c r="E46" s="69"/>
      <c r="F46" s="3">
        <f>'REALIZADO 2025'!D72*'PREVISTO 2026 REVISADO (2)'!$U$38</f>
        <v>5500.8486499999999</v>
      </c>
      <c r="G46" s="3">
        <f>'REALIZADO 2025'!E72*'PREVISTO 2026 REVISADO (2)'!$U$38</f>
        <v>4596.8504999999996</v>
      </c>
      <c r="H46" s="3">
        <f>'REALIZADO 2025'!F72*'PREVISTO 2026 REVISADO (2)'!$U$38</f>
        <v>1380.1106</v>
      </c>
      <c r="I46" s="3">
        <f>'REALIZADO 2025'!G72*'PREVISTO 2026 REVISADO (2)'!$U$38</f>
        <v>1256.4348499999999</v>
      </c>
      <c r="J46" s="3">
        <f>'REALIZADO 2025'!H72*'PREVISTO 2026 REVISADO (2)'!$U$38</f>
        <v>1988.7499499999997</v>
      </c>
      <c r="K46" s="3">
        <f>'REALIZADO 2025'!I72*'PREVISTO 2026 REVISADO (2)'!$U$38</f>
        <v>252.76459999999997</v>
      </c>
      <c r="L46" s="3">
        <f>'REALIZADO 2025'!J72*'PREVISTO 2026 REVISADO (2)'!$U$38</f>
        <v>202.77179999999998</v>
      </c>
      <c r="M46" s="3">
        <f>'REALIZADO 2025'!K72*'PREVISTO 2026 REVISADO (2)'!$U$38</f>
        <v>2318.855</v>
      </c>
      <c r="N46" s="3">
        <f>'REALIZADO 2025'!L72*'PREVISTO 2026 REVISADO (2)'!$U$38</f>
        <v>2207.0817999999999</v>
      </c>
      <c r="O46" s="3">
        <f>'REALIZADO 2025'!M72*'PREVISTO 2026 REVISADO (2)'!$U$38</f>
        <v>1405.5145499999999</v>
      </c>
      <c r="P46" s="3">
        <f>'REALIZADO 2025'!N72*'PREVISTO 2026 REVISADO (2)'!$U$38</f>
        <v>1072.3476499999999</v>
      </c>
      <c r="Q46" s="3">
        <f>'REALIZADO 2025'!O72*'PREVISTO 2026 REVISADO (2)'!$U$38</f>
        <v>4023.1559499999994</v>
      </c>
      <c r="R46" s="4">
        <v>20000</v>
      </c>
      <c r="S46" s="25">
        <f t="shared" si="2"/>
        <v>1666.6666666666667</v>
      </c>
      <c r="T46" s="5"/>
    </row>
    <row r="47" spans="3:22" ht="12">
      <c r="C47" s="77" t="s">
        <v>61</v>
      </c>
      <c r="D47" s="77"/>
      <c r="E47" s="77"/>
      <c r="F47" s="3">
        <f>'REALIZADO 2025'!D73*'PREVISTO 2026 REVISADO (2)'!$U$38</f>
        <v>349.70924999999994</v>
      </c>
      <c r="G47" s="3">
        <f>'REALIZADO 2025'!E73*'PREVISTO 2026 REVISADO (2)'!$U$38</f>
        <v>60.505499999999998</v>
      </c>
      <c r="H47" s="3">
        <f>'REALIZADO 2025'!F73*'PREVISTO 2026 REVISADO (2)'!$U$38</f>
        <v>60.505499999999998</v>
      </c>
      <c r="I47" s="3">
        <f>'REALIZADO 2025'!G73*'PREVISTO 2026 REVISADO (2)'!$U$38</f>
        <v>60.505499999999998</v>
      </c>
      <c r="J47" s="3">
        <f>'REALIZADO 2025'!H73*'PREVISTO 2026 REVISADO (2)'!$U$38</f>
        <v>60.505499999999998</v>
      </c>
      <c r="K47" s="3">
        <f>'REALIZADO 2025'!I73*'PREVISTO 2026 REVISADO (2)'!$U$38</f>
        <v>530.75549999999998</v>
      </c>
      <c r="L47" s="3">
        <f>'REALIZADO 2025'!J73*'PREVISTO 2026 REVISADO (2)'!$U$38</f>
        <v>3445.1559999999999</v>
      </c>
      <c r="M47" s="3">
        <f>'REALIZADO 2025'!K73*'PREVISTO 2026 REVISADO (2)'!$U$38</f>
        <v>257.07</v>
      </c>
      <c r="N47" s="3">
        <f>'REALIZADO 2025'!L73*'PREVISTO 2026 REVISADO (2)'!$U$38</f>
        <v>421.79334999999998</v>
      </c>
      <c r="O47" s="3">
        <f>'REALIZADO 2025'!M73*'PREVISTO 2026 REVISADO (2)'!$U$38</f>
        <v>9542.9399999999987</v>
      </c>
      <c r="P47" s="3">
        <f>'REALIZADO 2025'!N73*'PREVISTO 2026 REVISADO (2)'!$U$38</f>
        <v>416.88184999999999</v>
      </c>
      <c r="Q47" s="3">
        <f>'REALIZADO 2025'!O73*'PREVISTO 2026 REVISADO (2)'!$U$38</f>
        <v>0</v>
      </c>
      <c r="R47" s="4">
        <v>25000</v>
      </c>
      <c r="S47" s="25">
        <f t="shared" si="2"/>
        <v>2083.3333333333335</v>
      </c>
      <c r="T47" s="5"/>
    </row>
    <row r="48" spans="3:22" ht="12">
      <c r="C48" s="69" t="s">
        <v>62</v>
      </c>
      <c r="D48" s="69"/>
      <c r="E48" s="69"/>
      <c r="F48" s="3">
        <f>'REALIZADO 2025'!D74*'PREVISTO 2026 REVISADO (2)'!$U$38</f>
        <v>12.54</v>
      </c>
      <c r="G48" s="3">
        <f>'REALIZADO 2025'!E74*'PREVISTO 2026 REVISADO (2)'!$U$38</f>
        <v>135.36929999999998</v>
      </c>
      <c r="H48" s="3">
        <f>'REALIZADO 2025'!F74*'PREVISTO 2026 REVISADO (2)'!$U$38</f>
        <v>898.69999999999993</v>
      </c>
      <c r="I48" s="3">
        <f>'REALIZADO 2025'!G74*'PREVISTO 2026 REVISADO (2)'!$U$38</f>
        <v>1308.8938499999999</v>
      </c>
      <c r="J48" s="3">
        <f>'REALIZADO 2025'!H74*'PREVISTO 2026 REVISADO (2)'!$U$38</f>
        <v>2248.7354999999998</v>
      </c>
      <c r="K48" s="3">
        <f>'REALIZADO 2025'!I74*'PREVISTO 2026 REVISADO (2)'!$U$38</f>
        <v>2400.6680499999998</v>
      </c>
      <c r="L48" s="3">
        <f>'REALIZADO 2025'!J74*'PREVISTO 2026 REVISADO (2)'!$U$38</f>
        <v>3859.3312999999998</v>
      </c>
      <c r="M48" s="3">
        <f>'REALIZADO 2025'!K74*'PREVISTO 2026 REVISADO (2)'!$U$38</f>
        <v>2438.7269499999998</v>
      </c>
      <c r="N48" s="3">
        <f>'REALIZADO 2025'!L74*'PREVISTO 2026 REVISADO (2)'!$U$38</f>
        <v>1587.4072499999997</v>
      </c>
      <c r="O48" s="3">
        <f>'REALIZADO 2025'!M74*'PREVISTO 2026 REVISADO (2)'!$U$38</f>
        <v>682.02969999999993</v>
      </c>
      <c r="P48" s="3">
        <f>'REALIZADO 2025'!N74*'PREVISTO 2026 REVISADO (2)'!$U$38</f>
        <v>814.27445</v>
      </c>
      <c r="Q48" s="3">
        <f>'REALIZADO 2025'!O74*'PREVISTO 2026 REVISADO (2)'!$U$38</f>
        <v>962.34049999999991</v>
      </c>
      <c r="R48" s="4">
        <f>SUM(F48:Q48)</f>
        <v>17349.016849999996</v>
      </c>
      <c r="S48" s="25">
        <f t="shared" si="2"/>
        <v>1445.7514041666664</v>
      </c>
      <c r="T48" s="5"/>
    </row>
    <row r="49" spans="3:20" ht="12">
      <c r="C49" s="75" t="s">
        <v>63</v>
      </c>
      <c r="D49" s="76"/>
      <c r="E49" s="7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>
        <v>10000</v>
      </c>
      <c r="S49" s="25">
        <f t="shared" si="2"/>
        <v>833.33333333333337</v>
      </c>
      <c r="T49" s="5"/>
    </row>
    <row r="50" spans="3:20" ht="12">
      <c r="C50" s="75" t="s">
        <v>64</v>
      </c>
      <c r="D50" s="76"/>
      <c r="E50" s="7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>
        <v>10000</v>
      </c>
      <c r="S50" s="25">
        <f t="shared" si="2"/>
        <v>833.33333333333337</v>
      </c>
      <c r="T50" s="5"/>
    </row>
    <row r="51" spans="3:20" ht="12">
      <c r="C51" s="75" t="s">
        <v>65</v>
      </c>
      <c r="D51" s="76"/>
      <c r="E51" s="7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>
        <v>90000</v>
      </c>
      <c r="S51" s="25">
        <f t="shared" si="2"/>
        <v>7500</v>
      </c>
      <c r="T51" s="5"/>
    </row>
    <row r="52" spans="3:20" ht="12">
      <c r="C52" s="75" t="s">
        <v>66</v>
      </c>
      <c r="D52" s="76"/>
      <c r="E52" s="7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>
        <v>3000</v>
      </c>
      <c r="S52" s="25">
        <f t="shared" si="2"/>
        <v>250</v>
      </c>
      <c r="T52" s="5"/>
    </row>
    <row r="53" spans="3:20" ht="12">
      <c r="C53" s="75" t="s">
        <v>67</v>
      </c>
      <c r="D53" s="76"/>
      <c r="E53" s="7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>
        <v>3000</v>
      </c>
      <c r="S53" s="25">
        <f t="shared" si="2"/>
        <v>250</v>
      </c>
      <c r="T53" s="5"/>
    </row>
    <row r="54" spans="3:20" ht="12">
      <c r="C54" s="75" t="s">
        <v>68</v>
      </c>
      <c r="D54" s="75"/>
      <c r="E54" s="7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>
        <v>30000</v>
      </c>
      <c r="S54" s="25">
        <f t="shared" si="2"/>
        <v>2500</v>
      </c>
      <c r="T54" s="5"/>
    </row>
    <row r="55" spans="3:20" ht="12" customHeight="1">
      <c r="C55" s="74" t="s">
        <v>69</v>
      </c>
      <c r="D55" s="74"/>
      <c r="E55" s="74"/>
      <c r="F55" s="8">
        <f>SUM(F56:F67)</f>
        <v>13069.940399999999</v>
      </c>
      <c r="G55" s="8">
        <f t="shared" ref="G55:Q55" si="9">SUM(G56:G67)</f>
        <v>14929.141699999996</v>
      </c>
      <c r="H55" s="8">
        <f t="shared" si="9"/>
        <v>19163.1682</v>
      </c>
      <c r="I55" s="8">
        <f t="shared" si="9"/>
        <v>16750.4931</v>
      </c>
      <c r="J55" s="8">
        <f t="shared" si="9"/>
        <v>10903.937550000001</v>
      </c>
      <c r="K55" s="8">
        <f t="shared" si="9"/>
        <v>10419.653200000001</v>
      </c>
      <c r="L55" s="8">
        <f t="shared" si="9"/>
        <v>14561.834650000001</v>
      </c>
      <c r="M55" s="8">
        <f t="shared" si="9"/>
        <v>8672.9983999999986</v>
      </c>
      <c r="N55" s="8">
        <f t="shared" si="9"/>
        <v>20187.9997</v>
      </c>
      <c r="O55" s="8">
        <f t="shared" si="9"/>
        <v>20380.133399999999</v>
      </c>
      <c r="P55" s="8">
        <f t="shared" si="9"/>
        <v>16417.984550000001</v>
      </c>
      <c r="Q55" s="8">
        <f t="shared" si="9"/>
        <v>12092.039849999997</v>
      </c>
      <c r="R55" s="28">
        <f>SUM(R56:R67)</f>
        <v>149101.29069999995</v>
      </c>
      <c r="S55" s="28">
        <f>R55/12</f>
        <v>12425.10755833333</v>
      </c>
      <c r="T55" s="5"/>
    </row>
    <row r="56" spans="3:20" ht="12">
      <c r="C56" s="69" t="s">
        <v>70</v>
      </c>
      <c r="D56" s="69"/>
      <c r="E56" s="69"/>
      <c r="F56" s="3">
        <f>'REALIZADO 2025'!D76*'PREVISTO 2026 REVISADO (2)'!$U$38</f>
        <v>1201.7082</v>
      </c>
      <c r="G56" s="3">
        <f>'REALIZADO 2025'!E76*'PREVISTO 2026 REVISADO (2)'!$U$38</f>
        <v>5668.4353000000001</v>
      </c>
      <c r="H56" s="3">
        <f>'REALIZADO 2025'!F76*'PREVISTO 2026 REVISADO (2)'!$U$38</f>
        <v>1839.4298999999999</v>
      </c>
      <c r="I56" s="3">
        <f>'REALIZADO 2025'!G76*'PREVISTO 2026 REVISADO (2)'!$U$38</f>
        <v>1707.43595</v>
      </c>
      <c r="J56" s="3">
        <f>'REALIZADO 2025'!H76*'PREVISTO 2026 REVISADO (2)'!$U$38</f>
        <v>1130.7213499999998</v>
      </c>
      <c r="K56" s="3">
        <f>'REALIZADO 2025'!I76*'PREVISTO 2026 REVISADO (2)'!$U$38</f>
        <v>410.50734999999997</v>
      </c>
      <c r="L56" s="3">
        <f>'REALIZADO 2025'!J76*'PREVISTO 2026 REVISADO (2)'!$U$38</f>
        <v>2901.2752999999998</v>
      </c>
      <c r="M56" s="3">
        <f>'REALIZADO 2025'!K76*'PREVISTO 2026 REVISADO (2)'!$U$38</f>
        <v>1329.7520499999998</v>
      </c>
      <c r="N56" s="3">
        <f>'REALIZADO 2025'!L76*'PREVISTO 2026 REVISADO (2)'!$U$38</f>
        <v>2576.3429999999998</v>
      </c>
      <c r="O56" s="3">
        <f>'REALIZADO 2025'!M76*'PREVISTO 2026 REVISADO (2)'!$U$38</f>
        <v>2003.96515</v>
      </c>
      <c r="P56" s="3">
        <f>'REALIZADO 2025'!N76*'PREVISTO 2026 REVISADO (2)'!$U$38</f>
        <v>579.18079999999998</v>
      </c>
      <c r="Q56" s="3">
        <f>'REALIZADO 2025'!O76*'PREVISTO 2026 REVISADO (2)'!$U$38</f>
        <v>1431.6499999999999</v>
      </c>
      <c r="R56" s="25">
        <f>SUM(F56:Q56)</f>
        <v>22780.404349999997</v>
      </c>
      <c r="S56" s="25">
        <f t="shared" si="2"/>
        <v>1898.3670291666665</v>
      </c>
      <c r="T56" s="5"/>
    </row>
    <row r="57" spans="3:20" ht="12">
      <c r="C57" s="69" t="s">
        <v>71</v>
      </c>
      <c r="D57" s="69"/>
      <c r="E57" s="69"/>
      <c r="F57" s="3">
        <f>'REALIZADO 2025'!D77*'PREVISTO 2026 REVISADO (2)'!$U$38</f>
        <v>0</v>
      </c>
      <c r="G57" s="3">
        <f>'REALIZADO 2025'!E77*'PREVISTO 2026 REVISADO (2)'!$U$38</f>
        <v>2427.5245499999996</v>
      </c>
      <c r="H57" s="3">
        <f>'REALIZADO 2025'!F77*'PREVISTO 2026 REVISADO (2)'!$U$38</f>
        <v>3773.1187999999997</v>
      </c>
      <c r="I57" s="3">
        <f>'REALIZADO 2025'!G77*'PREVISTO 2026 REVISADO (2)'!$U$38</f>
        <v>1885.3785499999999</v>
      </c>
      <c r="J57" s="3">
        <f>'REALIZADO 2025'!H77*'PREVISTO 2026 REVISADO (2)'!$U$38</f>
        <v>1016.2624999999999</v>
      </c>
      <c r="K57" s="3">
        <f>'REALIZADO 2025'!I77*'PREVISTO 2026 REVISADO (2)'!$U$38</f>
        <v>3881.9868999999999</v>
      </c>
      <c r="L57" s="3">
        <f>'REALIZADO 2025'!J77*'PREVISTO 2026 REVISADO (2)'!$U$38</f>
        <v>3093.2</v>
      </c>
      <c r="M57" s="3">
        <f>'REALIZADO 2025'!K77*'PREVISTO 2026 REVISADO (2)'!$U$38</f>
        <v>1703.35</v>
      </c>
      <c r="N57" s="3">
        <f>'REALIZADO 2025'!L77*'PREVISTO 2026 REVISADO (2)'!$U$38</f>
        <v>1703.35</v>
      </c>
      <c r="O57" s="3">
        <f>'REALIZADO 2025'!M77*'PREVISTO 2026 REVISADO (2)'!$U$38</f>
        <v>4185.1309499999998</v>
      </c>
      <c r="P57" s="3">
        <f>'REALIZADO 2025'!N77*'PREVISTO 2026 REVISADO (2)'!$U$38</f>
        <v>3160.1217999999999</v>
      </c>
      <c r="Q57" s="3">
        <f>'REALIZADO 2025'!O77*'PREVISTO 2026 REVISADO (2)'!$U$38</f>
        <v>2277.67155</v>
      </c>
      <c r="R57" s="25">
        <f>SUM(F57:Q57)</f>
        <v>29107.095599999997</v>
      </c>
      <c r="S57" s="25">
        <f t="shared" si="2"/>
        <v>2425.5912999999996</v>
      </c>
      <c r="T57" s="5"/>
    </row>
    <row r="58" spans="3:20" ht="12">
      <c r="C58" s="69" t="s">
        <v>72</v>
      </c>
      <c r="D58" s="69"/>
      <c r="E58" s="69"/>
      <c r="F58" s="3">
        <f>'REALIZADO 2025'!D78*'PREVISTO 2026 REVISADO (2)'!$U$38</f>
        <v>888.24999999999989</v>
      </c>
      <c r="G58" s="3">
        <f>'REALIZADO 2025'!E78*'PREVISTO 2026 REVISADO (2)'!$U$38</f>
        <v>548.625</v>
      </c>
      <c r="H58" s="3">
        <f>'REALIZADO 2025'!F78*'PREVISTO 2026 REVISADO (2)'!$U$38</f>
        <v>0</v>
      </c>
      <c r="I58" s="3">
        <f>'REALIZADO 2025'!G78*'PREVISTO 2026 REVISADO (2)'!$U$38</f>
        <v>0</v>
      </c>
      <c r="J58" s="3">
        <f>'REALIZADO 2025'!H78*'PREVISTO 2026 REVISADO (2)'!$U$38</f>
        <v>0</v>
      </c>
      <c r="K58" s="3">
        <f>'REALIZADO 2025'!I78*'PREVISTO 2026 REVISADO (2)'!$U$38</f>
        <v>0</v>
      </c>
      <c r="L58" s="3">
        <f>'REALIZADO 2025'!J78*'PREVISTO 2026 REVISADO (2)'!$U$38</f>
        <v>0</v>
      </c>
      <c r="M58" s="3">
        <f>'REALIZADO 2025'!K78*'PREVISTO 2026 REVISADO (2)'!$U$38</f>
        <v>0</v>
      </c>
      <c r="N58" s="3">
        <f>'REALIZADO 2025'!L78*'PREVISTO 2026 REVISADO (2)'!$U$38</f>
        <v>0</v>
      </c>
      <c r="O58" s="3">
        <f>'REALIZADO 2025'!M78*'PREVISTO 2026 REVISADO (2)'!$U$38</f>
        <v>0</v>
      </c>
      <c r="P58" s="3">
        <f>'REALIZADO 2025'!N78*'PREVISTO 2026 REVISADO (2)'!$U$38</f>
        <v>0</v>
      </c>
      <c r="Q58" s="3">
        <f>'REALIZADO 2025'!O78*'PREVISTO 2026 REVISADO (2)'!$U$38</f>
        <v>0</v>
      </c>
      <c r="R58" s="25">
        <f>SUM(F58:Q58)</f>
        <v>1436.875</v>
      </c>
      <c r="S58" s="25">
        <f t="shared" si="2"/>
        <v>119.73958333333333</v>
      </c>
      <c r="T58" s="5"/>
    </row>
    <row r="59" spans="3:20" ht="12">
      <c r="C59" s="69" t="s">
        <v>73</v>
      </c>
      <c r="D59" s="69"/>
      <c r="E59" s="69"/>
      <c r="F59" s="3">
        <f>'REALIZADO 2025'!D79*'PREVISTO 2026 REVISADO (2)'!$U$38</f>
        <v>0</v>
      </c>
      <c r="G59" s="3">
        <f>'REALIZADO 2025'!E79*'PREVISTO 2026 REVISADO (2)'!$U$38</f>
        <v>0</v>
      </c>
      <c r="H59" s="3">
        <f>'REALIZADO 2025'!F79*'PREVISTO 2026 REVISADO (2)'!$U$38</f>
        <v>0</v>
      </c>
      <c r="I59" s="3">
        <f>'REALIZADO 2025'!G79*'PREVISTO 2026 REVISADO (2)'!$U$38</f>
        <v>0</v>
      </c>
      <c r="J59" s="3">
        <f>'REALIZADO 2025'!H79*'PREVISTO 2026 REVISADO (2)'!$U$38</f>
        <v>0</v>
      </c>
      <c r="K59" s="3">
        <f>'REALIZADO 2025'!I79*'PREVISTO 2026 REVISADO (2)'!$U$38</f>
        <v>0</v>
      </c>
      <c r="L59" s="3">
        <f>'REALIZADO 2025'!J79*'PREVISTO 2026 REVISADO (2)'!$U$38</f>
        <v>0</v>
      </c>
      <c r="M59" s="3">
        <f>'REALIZADO 2025'!K79*'PREVISTO 2026 REVISADO (2)'!$U$38</f>
        <v>0</v>
      </c>
      <c r="N59" s="3">
        <f>'REALIZADO 2025'!L79*'PREVISTO 2026 REVISADO (2)'!$U$38</f>
        <v>42.573299999999996</v>
      </c>
      <c r="O59" s="3">
        <f>'REALIZADO 2025'!M79*'PREVISTO 2026 REVISADO (2)'!$U$38</f>
        <v>0</v>
      </c>
      <c r="P59" s="3">
        <f>'REALIZADO 2025'!N79*'PREVISTO 2026 REVISADO (2)'!$U$38</f>
        <v>0</v>
      </c>
      <c r="Q59" s="3">
        <f>'REALIZADO 2025'!O79*'PREVISTO 2026 REVISADO (2)'!$U$38</f>
        <v>0</v>
      </c>
      <c r="R59" s="25">
        <f>SUM(F59:Q59)</f>
        <v>42.573299999999996</v>
      </c>
      <c r="S59" s="25">
        <f t="shared" si="2"/>
        <v>3.5477749999999997</v>
      </c>
      <c r="T59" s="5"/>
    </row>
    <row r="60" spans="3:20" ht="12">
      <c r="C60" s="69" t="s">
        <v>74</v>
      </c>
      <c r="D60" s="69"/>
      <c r="E60" s="69"/>
      <c r="F60" s="3">
        <f>'REALIZADO 2025'!D80*'PREVISTO 2026 REVISADO (2)'!$U$38</f>
        <v>2080.5113999999999</v>
      </c>
      <c r="G60" s="3">
        <f>'REALIZADO 2025'!E80*'PREVISTO 2026 REVISADO (2)'!$U$38</f>
        <v>1775.5803999999998</v>
      </c>
      <c r="H60" s="3">
        <f>'REALIZADO 2025'!F80*'PREVISTO 2026 REVISADO (2)'!$U$38</f>
        <v>2668.5328999999997</v>
      </c>
      <c r="I60" s="3">
        <f>'REALIZADO 2025'!G80*'PREVISTO 2026 REVISADO (2)'!$U$38</f>
        <v>5443.0914999999995</v>
      </c>
      <c r="J60" s="3">
        <f>'REALIZADO 2025'!H80*'PREVISTO 2026 REVISADO (2)'!$U$38</f>
        <v>3762.7419499999996</v>
      </c>
      <c r="K60" s="3">
        <f>'REALIZADO 2025'!I80*'PREVISTO 2026 REVISADO (2)'!$U$38</f>
        <v>3642.0862499999998</v>
      </c>
      <c r="L60" s="3">
        <f>'REALIZADO 2025'!J80*'PREVISTO 2026 REVISADO (2)'!$U$38</f>
        <v>372.79329999999999</v>
      </c>
      <c r="M60" s="3">
        <f>'REALIZADO 2025'!K80*'PREVISTO 2026 REVISADO (2)'!$U$38</f>
        <v>968.19249999999988</v>
      </c>
      <c r="N60" s="3">
        <f>'REALIZADO 2025'!L80*'PREVISTO 2026 REVISADO (2)'!$U$38</f>
        <v>4318.3997999999992</v>
      </c>
      <c r="O60" s="3">
        <f>'REALIZADO 2025'!M80*'PREVISTO 2026 REVISADO (2)'!$U$38</f>
        <v>6209.7348499999998</v>
      </c>
      <c r="P60" s="3">
        <f>'REALIZADO 2025'!N80*'PREVISTO 2026 REVISADO (2)'!$U$38</f>
        <v>7047.6053999999995</v>
      </c>
      <c r="Q60" s="3">
        <f>'REALIZADO 2025'!O80*'PREVISTO 2026 REVISADO (2)'!$U$38</f>
        <v>4547.4220000000005</v>
      </c>
      <c r="R60" s="25">
        <v>10000</v>
      </c>
      <c r="S60" s="25">
        <f t="shared" si="2"/>
        <v>833.33333333333337</v>
      </c>
      <c r="T60" s="5"/>
    </row>
    <row r="61" spans="3:20" ht="12">
      <c r="C61" s="69" t="s">
        <v>75</v>
      </c>
      <c r="D61" s="69"/>
      <c r="E61" s="69"/>
      <c r="F61" s="3">
        <f>'REALIZADO 2025'!D81*'PREVISTO 2026 REVISADO (2)'!$U$38</f>
        <v>0</v>
      </c>
      <c r="G61" s="3">
        <f>'REALIZADO 2025'!E81*'PREVISTO 2026 REVISADO (2)'!$U$38</f>
        <v>0</v>
      </c>
      <c r="H61" s="3">
        <f>'REALIZADO 2025'!F81*'PREVISTO 2026 REVISADO (2)'!$U$38</f>
        <v>0</v>
      </c>
      <c r="I61" s="3">
        <f>'REALIZADO 2025'!G81*'PREVISTO 2026 REVISADO (2)'!$U$38</f>
        <v>104.5</v>
      </c>
      <c r="J61" s="3">
        <f>'REALIZADO 2025'!H81*'PREVISTO 2026 REVISADO (2)'!$U$38</f>
        <v>0</v>
      </c>
      <c r="K61" s="3">
        <f>'REALIZADO 2025'!I81*'PREVISTO 2026 REVISADO (2)'!$U$38</f>
        <v>0</v>
      </c>
      <c r="L61" s="3">
        <f>'REALIZADO 2025'!J81*'PREVISTO 2026 REVISADO (2)'!$U$38</f>
        <v>0</v>
      </c>
      <c r="M61" s="3">
        <f>'REALIZADO 2025'!K81*'PREVISTO 2026 REVISADO (2)'!$U$38</f>
        <v>0</v>
      </c>
      <c r="N61" s="3">
        <f>'REALIZADO 2025'!L81*'PREVISTO 2026 REVISADO (2)'!$U$38</f>
        <v>0</v>
      </c>
      <c r="O61" s="3">
        <f>'REALIZADO 2025'!M81*'PREVISTO 2026 REVISADO (2)'!$U$38</f>
        <v>0</v>
      </c>
      <c r="P61" s="3">
        <f>'REALIZADO 2025'!N81*'PREVISTO 2026 REVISADO (2)'!$U$38</f>
        <v>0</v>
      </c>
      <c r="Q61" s="3">
        <f>'REALIZADO 2025'!O81*'PREVISTO 2026 REVISADO (2)'!$U$38</f>
        <v>56.764399999999995</v>
      </c>
      <c r="R61" s="25">
        <f>SUM(F61:Q61)</f>
        <v>161.26439999999999</v>
      </c>
      <c r="S61" s="25">
        <f t="shared" si="2"/>
        <v>13.438699999999999</v>
      </c>
      <c r="T61" s="5"/>
    </row>
    <row r="62" spans="3:20" ht="12">
      <c r="C62" s="69" t="s">
        <v>76</v>
      </c>
      <c r="D62" s="69"/>
      <c r="E62" s="69"/>
      <c r="F62" s="3">
        <f>'REALIZADO 2025'!D82*'PREVISTO 2026 REVISADO (2)'!$U$38</f>
        <v>7691.6597999999994</v>
      </c>
      <c r="G62" s="3">
        <f>'REALIZADO 2025'!E82*'PREVISTO 2026 REVISADO (2)'!$U$38</f>
        <v>2713.0812499999997</v>
      </c>
      <c r="H62" s="3">
        <f>'REALIZADO 2025'!F82*'PREVISTO 2026 REVISADO (2)'!$U$38</f>
        <v>1018.8749999999999</v>
      </c>
      <c r="I62" s="3">
        <f>'REALIZADO 2025'!G82*'PREVISTO 2026 REVISADO (2)'!$U$38</f>
        <v>2666.8399999999997</v>
      </c>
      <c r="J62" s="3">
        <f>'REALIZADO 2025'!H82*'PREVISTO 2026 REVISADO (2)'!$U$38</f>
        <v>2783.8799999999997</v>
      </c>
      <c r="K62" s="3">
        <f>'REALIZADO 2025'!I82*'PREVISTO 2026 REVISADO (2)'!$U$38</f>
        <v>836</v>
      </c>
      <c r="L62" s="3">
        <f>'REALIZADO 2025'!J82*'PREVISTO 2026 REVISADO (2)'!$U$38</f>
        <v>877.8</v>
      </c>
      <c r="M62" s="3">
        <f>'REALIZADO 2025'!K82*'PREVISTO 2026 REVISADO (2)'!$U$38</f>
        <v>1648.4875</v>
      </c>
      <c r="N62" s="3">
        <f>'REALIZADO 2025'!L82*'PREVISTO 2026 REVISADO (2)'!$U$38</f>
        <v>2319.11625</v>
      </c>
      <c r="O62" s="3">
        <f>'REALIZADO 2025'!M82*'PREVISTO 2026 REVISADO (2)'!$U$38</f>
        <v>1903.6347000000001</v>
      </c>
      <c r="P62" s="3">
        <f>'REALIZADO 2025'!N82*'PREVISTO 2026 REVISADO (2)'!$U$38</f>
        <v>1088.5346999999999</v>
      </c>
      <c r="Q62" s="3">
        <f>'REALIZADO 2025'!O82*'PREVISTO 2026 REVISADO (2)'!$U$38</f>
        <v>2016.1811999999998</v>
      </c>
      <c r="R62" s="25">
        <f>SUM(F62:Q62)</f>
        <v>27564.090399999994</v>
      </c>
      <c r="S62" s="25">
        <f t="shared" si="2"/>
        <v>2297.007533333333</v>
      </c>
      <c r="T62" s="5"/>
    </row>
    <row r="63" spans="3:20" ht="12">
      <c r="C63" s="69" t="s">
        <v>77</v>
      </c>
      <c r="D63" s="69"/>
      <c r="E63" s="69"/>
      <c r="F63" s="3">
        <f>'REALIZADO 2025'!D83*'PREVISTO 2026 REVISADO (2)'!$U$38</f>
        <v>1149.5</v>
      </c>
      <c r="G63" s="3">
        <f>'REALIZADO 2025'!E83*'PREVISTO 2026 REVISADO (2)'!$U$38</f>
        <v>1481.5591999999999</v>
      </c>
      <c r="H63" s="3">
        <f>'REALIZADO 2025'!F83*'PREVISTO 2026 REVISADO (2)'!$U$38</f>
        <v>2122.2696000000001</v>
      </c>
      <c r="I63" s="3">
        <f>'REALIZADO 2025'!G83*'PREVISTO 2026 REVISADO (2)'!$U$38</f>
        <v>2265.5913500000001</v>
      </c>
      <c r="J63" s="3">
        <f>'REALIZADO 2025'!H83*'PREVISTO 2026 REVISADO (2)'!$U$38</f>
        <v>1493.2945499999998</v>
      </c>
      <c r="K63" s="3">
        <f>'REALIZADO 2025'!I83*'PREVISTO 2026 REVISADO (2)'!$U$38</f>
        <v>1497.5163499999999</v>
      </c>
      <c r="L63" s="3">
        <f>'REALIZADO 2025'!J83*'PREVISTO 2026 REVISADO (2)'!$U$38</f>
        <v>1918.2438</v>
      </c>
      <c r="M63" s="3">
        <f>'REALIZADO 2025'!K83*'PREVISTO 2026 REVISADO (2)'!$U$38</f>
        <v>2009.5663499999998</v>
      </c>
      <c r="N63" s="3">
        <f>'REALIZADO 2025'!L83*'PREVISTO 2026 REVISADO (2)'!$U$38</f>
        <v>8346.7807499999999</v>
      </c>
      <c r="O63" s="3">
        <f>'REALIZADO 2025'!M83*'PREVISTO 2026 REVISADO (2)'!$U$38</f>
        <v>4122.4727499999999</v>
      </c>
      <c r="P63" s="3">
        <f>'REALIZADO 2025'!N83*'PREVISTO 2026 REVISADO (2)'!$U$38</f>
        <v>2442.1963500000002</v>
      </c>
      <c r="Q63" s="3">
        <f>'REALIZADO 2025'!O83*'PREVISTO 2026 REVISADO (2)'!$U$38</f>
        <v>1762.3507</v>
      </c>
      <c r="R63" s="25">
        <v>35000</v>
      </c>
      <c r="S63" s="25">
        <f t="shared" si="2"/>
        <v>2916.6666666666665</v>
      </c>
      <c r="T63" s="5"/>
    </row>
    <row r="64" spans="3:20" ht="12">
      <c r="C64" s="69" t="s">
        <v>78</v>
      </c>
      <c r="D64" s="69"/>
      <c r="E64" s="69"/>
      <c r="F64" s="3">
        <f>'REALIZADO 2025'!D84*'PREVISTO 2026 REVISADO (2)'!$U$38</f>
        <v>0</v>
      </c>
      <c r="G64" s="3">
        <f>'REALIZADO 2025'!E84*'PREVISTO 2026 REVISADO (2)'!$U$38</f>
        <v>0</v>
      </c>
      <c r="H64" s="3">
        <f>'REALIZADO 2025'!F84*'PREVISTO 2026 REVISADO (2)'!$U$38</f>
        <v>425.94200000000001</v>
      </c>
      <c r="I64" s="3">
        <f>'REALIZADO 2025'!G84*'PREVISTO 2026 REVISADO (2)'!$U$38</f>
        <v>250.79999999999998</v>
      </c>
      <c r="J64" s="3">
        <f>'REALIZADO 2025'!H84*'PREVISTO 2026 REVISADO (2)'!$U$38</f>
        <v>0</v>
      </c>
      <c r="K64" s="3">
        <f>'REALIZADO 2025'!I84*'PREVISTO 2026 REVISADO (2)'!$U$38</f>
        <v>78.270499999999998</v>
      </c>
      <c r="L64" s="3">
        <f>'REALIZADO 2025'!J84*'PREVISTO 2026 REVISADO (2)'!$U$38</f>
        <v>1254</v>
      </c>
      <c r="M64" s="3">
        <f>'REALIZADO 2025'!K84*'PREVISTO 2026 REVISADO (2)'!$U$38</f>
        <v>731.5</v>
      </c>
      <c r="N64" s="3">
        <f>'REALIZADO 2025'!L84*'PREVISTO 2026 REVISADO (2)'!$U$38</f>
        <v>114.94999999999999</v>
      </c>
      <c r="O64" s="3">
        <f>'REALIZADO 2025'!M84*'PREVISTO 2026 REVISADO (2)'!$U$38</f>
        <v>0</v>
      </c>
      <c r="P64" s="3">
        <f>'REALIZADO 2025'!N84*'PREVISTO 2026 REVISADO (2)'!$U$38</f>
        <v>0</v>
      </c>
      <c r="Q64" s="3">
        <f>'REALIZADO 2025'!O84*'PREVISTO 2026 REVISADO (2)'!$U$38</f>
        <v>0</v>
      </c>
      <c r="R64" s="25">
        <f>SUM(F64:Q64)</f>
        <v>2855.4624999999996</v>
      </c>
      <c r="S64" s="25">
        <f t="shared" si="2"/>
        <v>237.9552083333333</v>
      </c>
      <c r="T64" s="5"/>
    </row>
    <row r="65" spans="3:21" ht="12">
      <c r="C65" s="69" t="s">
        <v>79</v>
      </c>
      <c r="D65" s="69"/>
      <c r="E65" s="69"/>
      <c r="F65" s="3">
        <f>'REALIZADO 2025'!D85*'PREVISTO 2026 REVISADO (2)'!$U$38</f>
        <v>58.310999999999993</v>
      </c>
      <c r="G65" s="3">
        <f>'REALIZADO 2025'!E85*'PREVISTO 2026 REVISADO (2)'!$U$38</f>
        <v>314.33600000000001</v>
      </c>
      <c r="H65" s="3">
        <f>'REALIZADO 2025'!F85*'PREVISTO 2026 REVISADO (2)'!$U$38</f>
        <v>0</v>
      </c>
      <c r="I65" s="3">
        <f>'REALIZADO 2025'!G85*'PREVISTO 2026 REVISADO (2)'!$U$38</f>
        <v>776.80074999999999</v>
      </c>
      <c r="J65" s="3">
        <f>'REALIZADO 2025'!H85*'PREVISTO 2026 REVISADO (2)'!$U$38</f>
        <v>23.20945</v>
      </c>
      <c r="K65" s="3">
        <f>'REALIZADO 2025'!I85*'PREVISTO 2026 REVISADO (2)'!$U$38</f>
        <v>0</v>
      </c>
      <c r="L65" s="3">
        <f>'REALIZADO 2025'!J85*'PREVISTO 2026 REVISADO (2)'!$U$38</f>
        <v>3766.18</v>
      </c>
      <c r="M65" s="3">
        <f>'REALIZADO 2025'!K85*'PREVISTO 2026 REVISADO (2)'!$U$38</f>
        <v>282.14999999999998</v>
      </c>
      <c r="N65" s="3">
        <f>'REALIZADO 2025'!L85*'PREVISTO 2026 REVISADO (2)'!$U$38</f>
        <v>503.14659999999998</v>
      </c>
      <c r="O65" s="3">
        <f>'REALIZADO 2025'!M85*'PREVISTO 2026 REVISADO (2)'!$U$38</f>
        <v>1955.1949999999999</v>
      </c>
      <c r="P65" s="3">
        <f>'REALIZADO 2025'!N85*'PREVISTO 2026 REVISADO (2)'!$U$38</f>
        <v>2100.3454999999999</v>
      </c>
      <c r="Q65" s="3">
        <f>'REALIZADO 2025'!O85*'PREVISTO 2026 REVISADO (2)'!$U$38</f>
        <v>0</v>
      </c>
      <c r="R65" s="25">
        <f>SUM(F65:Q65)</f>
        <v>9779.6742999999988</v>
      </c>
      <c r="S65" s="25">
        <f t="shared" si="2"/>
        <v>814.97285833333319</v>
      </c>
      <c r="T65" s="5"/>
    </row>
    <row r="66" spans="3:21" ht="12">
      <c r="C66" s="69" t="s">
        <v>80</v>
      </c>
      <c r="D66" s="69"/>
      <c r="E66" s="69"/>
      <c r="F66" s="3">
        <f>'REALIZADO 2025'!D86*'PREVISTO 2026 REVISADO (2)'!$U$38</f>
        <v>0</v>
      </c>
      <c r="G66" s="3">
        <f>'REALIZADO 2025'!E86*'PREVISTO 2026 REVISADO (2)'!$U$38</f>
        <v>0</v>
      </c>
      <c r="H66" s="3">
        <f>'REALIZADO 2025'!F86*'PREVISTO 2026 REVISADO (2)'!$U$38</f>
        <v>7314.9999999999991</v>
      </c>
      <c r="I66" s="3">
        <f>'REALIZADO 2025'!G86*'PREVISTO 2026 REVISADO (2)'!$U$38</f>
        <v>1650.0549999999998</v>
      </c>
      <c r="J66" s="3">
        <f>'REALIZADO 2025'!H86*'PREVISTO 2026 REVISADO (2)'!$U$38</f>
        <v>0</v>
      </c>
      <c r="K66" s="3">
        <f>'REALIZADO 2025'!I86*'PREVISTO 2026 REVISADO (2)'!$U$38</f>
        <v>0</v>
      </c>
      <c r="L66" s="3">
        <f>'REALIZADO 2025'!J86*'PREVISTO 2026 REVISADO (2)'!$U$38</f>
        <v>0</v>
      </c>
      <c r="M66" s="3">
        <f>'REALIZADO 2025'!K86*'PREVISTO 2026 REVISADO (2)'!$U$38</f>
        <v>0</v>
      </c>
      <c r="N66" s="3">
        <f>'REALIZADO 2025'!L86*'PREVISTO 2026 REVISADO (2)'!$U$38</f>
        <v>263.33999999999997</v>
      </c>
      <c r="O66" s="3">
        <f>'REALIZADO 2025'!M86*'PREVISTO 2026 REVISADO (2)'!$U$38</f>
        <v>0</v>
      </c>
      <c r="P66" s="3">
        <f>'REALIZADO 2025'!N86*'PREVISTO 2026 REVISADO (2)'!$U$38</f>
        <v>0</v>
      </c>
      <c r="Q66" s="3">
        <f>'REALIZADO 2025'!O86*'PREVISTO 2026 REVISADO (2)'!$U$38</f>
        <v>0</v>
      </c>
      <c r="R66" s="25">
        <f>SUM(F66:Q66)</f>
        <v>9228.3949999999986</v>
      </c>
      <c r="S66" s="25">
        <f t="shared" si="2"/>
        <v>769.03291666666655</v>
      </c>
      <c r="T66" s="5"/>
    </row>
    <row r="67" spans="3:21" ht="12">
      <c r="C67" s="69" t="s">
        <v>81</v>
      </c>
      <c r="D67" s="69"/>
      <c r="E67" s="69"/>
      <c r="F67" s="3">
        <f>'REALIZADO 2025'!D87*'PREVISTO 2026 REVISADO (2)'!$U$38</f>
        <v>0</v>
      </c>
      <c r="G67" s="3">
        <f>'REALIZADO 2025'!E87*'PREVISTO 2026 REVISADO (2)'!$U$38</f>
        <v>0</v>
      </c>
      <c r="H67" s="3">
        <f>'REALIZADO 2025'!F87*'PREVISTO 2026 REVISADO (2)'!$U$38</f>
        <v>0</v>
      </c>
      <c r="I67" s="3">
        <f>'REALIZADO 2025'!G87*'PREVISTO 2026 REVISADO (2)'!$U$38</f>
        <v>0</v>
      </c>
      <c r="J67" s="3">
        <f>'REALIZADO 2025'!H87*'PREVISTO 2026 REVISADO (2)'!$U$38</f>
        <v>693.82775000000004</v>
      </c>
      <c r="K67" s="3">
        <f>'REALIZADO 2025'!I87*'PREVISTO 2026 REVISADO (2)'!$U$38</f>
        <v>73.285849999999996</v>
      </c>
      <c r="L67" s="3">
        <f>'REALIZADO 2025'!J87*'PREVISTO 2026 REVISADO (2)'!$U$38</f>
        <v>378.34224999999998</v>
      </c>
      <c r="M67" s="3">
        <f>'REALIZADO 2025'!K87*'PREVISTO 2026 REVISADO (2)'!$U$38</f>
        <v>0</v>
      </c>
      <c r="N67" s="3">
        <f>'REALIZADO 2025'!L87*'PREVISTO 2026 REVISADO (2)'!$U$38</f>
        <v>0</v>
      </c>
      <c r="O67" s="3">
        <f>'REALIZADO 2025'!M87*'PREVISTO 2026 REVISADO (2)'!$U$38</f>
        <v>0</v>
      </c>
      <c r="P67" s="3">
        <f>'REALIZADO 2025'!N87*'PREVISTO 2026 REVISADO (2)'!$U$38</f>
        <v>0</v>
      </c>
      <c r="Q67" s="3">
        <f>'REALIZADO 2025'!O87*'PREVISTO 2026 REVISADO (2)'!$U$38</f>
        <v>0</v>
      </c>
      <c r="R67" s="25">
        <f>SUM(F67:Q67)</f>
        <v>1145.4558500000001</v>
      </c>
      <c r="S67" s="25">
        <f t="shared" si="2"/>
        <v>95.454654166666671</v>
      </c>
      <c r="T67" s="5"/>
    </row>
    <row r="68" spans="3:21" ht="12">
      <c r="C68" s="74" t="s">
        <v>82</v>
      </c>
      <c r="D68" s="74"/>
      <c r="E68" s="74"/>
      <c r="F68" s="8">
        <f>SUM(F69:F71)</f>
        <v>16132.187499999998</v>
      </c>
      <c r="G68" s="8">
        <f t="shared" ref="G68:Q68" si="10">SUM(G69:G71)</f>
        <v>14734.8135</v>
      </c>
      <c r="H68" s="8">
        <f t="shared" si="10"/>
        <v>13166.11175</v>
      </c>
      <c r="I68" s="8">
        <f t="shared" si="10"/>
        <v>15843.767499999998</v>
      </c>
      <c r="J68" s="8">
        <f t="shared" si="10"/>
        <v>6390.1749999999993</v>
      </c>
      <c r="K68" s="8">
        <f t="shared" si="10"/>
        <v>10054.99</v>
      </c>
      <c r="L68" s="8">
        <f t="shared" si="10"/>
        <v>7028.6699999999992</v>
      </c>
      <c r="M68" s="8">
        <f t="shared" si="10"/>
        <v>8206.0401499999989</v>
      </c>
      <c r="N68" s="8">
        <f t="shared" si="10"/>
        <v>3996.7801499999996</v>
      </c>
      <c r="O68" s="8">
        <f t="shared" si="10"/>
        <v>7054.439699999999</v>
      </c>
      <c r="P68" s="8">
        <f t="shared" si="10"/>
        <v>710.59999999999991</v>
      </c>
      <c r="Q68" s="8">
        <f t="shared" si="10"/>
        <v>1839.0954999999999</v>
      </c>
      <c r="R68" s="9">
        <f>SUM(R69:R71)</f>
        <v>95374.688999999998</v>
      </c>
      <c r="S68" s="28">
        <f t="shared" si="2"/>
        <v>7947.8907499999996</v>
      </c>
      <c r="T68" s="5"/>
    </row>
    <row r="69" spans="3:21" ht="12">
      <c r="C69" s="69" t="s">
        <v>83</v>
      </c>
      <c r="D69" s="69"/>
      <c r="E69" s="69"/>
      <c r="F69" s="3">
        <f>'REALIZADO 2025'!D89*'PREVISTO 2026 REVISADO (2)'!$U$38</f>
        <v>6040.6224999999995</v>
      </c>
      <c r="G69" s="3">
        <f>'REALIZADO 2025'!E89*'PREVISTO 2026 REVISADO (2)'!$U$38</f>
        <v>6040.6224999999995</v>
      </c>
      <c r="H69" s="3">
        <f>'REALIZADO 2025'!F89*'PREVISTO 2026 REVISADO (2)'!$U$38</f>
        <v>5339.95</v>
      </c>
      <c r="I69" s="3">
        <f>'REALIZADO 2025'!G89*'PREVISTO 2026 REVISADO (2)'!$U$38</f>
        <v>7947.2249999999995</v>
      </c>
      <c r="J69" s="3">
        <f>'REALIZADO 2025'!H89*'PREVISTO 2026 REVISADO (2)'!$U$38</f>
        <v>6390.1749999999993</v>
      </c>
      <c r="K69" s="3">
        <f>'REALIZADO 2025'!I89*'PREVISTO 2026 REVISADO (2)'!$U$38</f>
        <v>5956.5</v>
      </c>
      <c r="L69" s="3">
        <f>'REALIZADO 2025'!J89*'PREVISTO 2026 REVISADO (2)'!$U$38</f>
        <v>3423.4199999999996</v>
      </c>
      <c r="M69" s="3">
        <f>'REALIZADO 2025'!K89*'PREVISTO 2026 REVISADO (2)'!$U$38</f>
        <v>5016</v>
      </c>
      <c r="N69" s="3">
        <f>'REALIZADO 2025'!L89*'PREVISTO 2026 REVISADO (2)'!$U$38</f>
        <v>1191.3</v>
      </c>
      <c r="O69" s="3">
        <f>'REALIZADO 2025'!M89*'PREVISTO 2026 REVISADO (2)'!$U$38</f>
        <v>5114.2299999999996</v>
      </c>
      <c r="P69" s="3">
        <f>'REALIZADO 2025'!N89*'PREVISTO 2026 REVISADO (2)'!$U$38</f>
        <v>0</v>
      </c>
      <c r="Q69" s="3">
        <f>'REALIZADO 2025'!O89*'PREVISTO 2026 REVISADO (2)'!$U$38</f>
        <v>0</v>
      </c>
      <c r="R69" s="4">
        <f>SUM(F69:Q69)</f>
        <v>52460.044999999998</v>
      </c>
      <c r="S69" s="25">
        <f t="shared" si="2"/>
        <v>4371.6704166666668</v>
      </c>
      <c r="T69" s="5"/>
    </row>
    <row r="70" spans="3:21" ht="12">
      <c r="C70" s="69" t="s">
        <v>84</v>
      </c>
      <c r="D70" s="69"/>
      <c r="E70" s="69"/>
      <c r="F70" s="3">
        <f>'REALIZADO 2025'!D90*'PREVISTO 2026 REVISADO (2)'!$U$38</f>
        <v>7357.8449999999993</v>
      </c>
      <c r="G70" s="3">
        <f>'REALIZADO 2025'!E90*'PREVISTO 2026 REVISADO (2)'!$U$38</f>
        <v>4558.0810000000001</v>
      </c>
      <c r="H70" s="3">
        <f>'REALIZADO 2025'!F90*'PREVISTO 2026 REVISADO (2)'!$U$38</f>
        <v>5275.1077499999992</v>
      </c>
      <c r="I70" s="3">
        <f>'REALIZADO 2025'!G90*'PREVISTO 2026 REVISADO (2)'!$U$38</f>
        <v>7008.2924999999996</v>
      </c>
      <c r="J70" s="3">
        <f>'REALIZADO 2025'!H90*'PREVISTO 2026 REVISADO (2)'!$U$38</f>
        <v>0</v>
      </c>
      <c r="K70" s="3">
        <f>'REALIZADO 2025'!I90*'PREVISTO 2026 REVISADO (2)'!$U$38</f>
        <v>2102.54</v>
      </c>
      <c r="L70" s="3">
        <f>'REALIZADO 2025'!J90*'PREVISTO 2026 REVISADO (2)'!$U$38</f>
        <v>606.09999999999991</v>
      </c>
      <c r="M70" s="3">
        <f>'REALIZADO 2025'!K90*'PREVISTO 2026 REVISADO (2)'!$U$38</f>
        <v>1864.9801499999999</v>
      </c>
      <c r="N70" s="3">
        <f>'REALIZADO 2025'!L90*'PREVISTO 2026 REVISADO (2)'!$U$38</f>
        <v>2805.4801499999999</v>
      </c>
      <c r="O70" s="3">
        <f>'REALIZADO 2025'!M90*'PREVISTO 2026 REVISADO (2)'!$U$38</f>
        <v>1940.2096999999999</v>
      </c>
      <c r="P70" s="3">
        <f>'REALIZADO 2025'!N90*'PREVISTO 2026 REVISADO (2)'!$U$38</f>
        <v>0</v>
      </c>
      <c r="Q70" s="3">
        <f>'REALIZADO 2025'!O90*'PREVISTO 2026 REVISADO (2)'!$U$38</f>
        <v>1264.3454999999999</v>
      </c>
      <c r="R70" s="4">
        <v>25000</v>
      </c>
      <c r="S70" s="25">
        <f t="shared" ref="S70:S87" si="11">R70/12</f>
        <v>2083.3333333333335</v>
      </c>
      <c r="T70" s="5"/>
    </row>
    <row r="71" spans="3:21" ht="12">
      <c r="C71" s="69" t="s">
        <v>85</v>
      </c>
      <c r="D71" s="69"/>
      <c r="E71" s="69"/>
      <c r="F71" s="3">
        <f>'REALIZADO 2025'!D91*'PREVISTO 2026 REVISADO (2)'!$U$38</f>
        <v>2733.72</v>
      </c>
      <c r="G71" s="3">
        <f>'REALIZADO 2025'!E91*'PREVISTO 2026 REVISADO (2)'!$U$38</f>
        <v>4136.1099999999997</v>
      </c>
      <c r="H71" s="3">
        <f>'REALIZADO 2025'!F91*'PREVISTO 2026 REVISADO (2)'!$U$38</f>
        <v>2551.0539999999996</v>
      </c>
      <c r="I71" s="3">
        <f>'REALIZADO 2025'!G91*'PREVISTO 2026 REVISADO (2)'!$U$38</f>
        <v>888.24999999999989</v>
      </c>
      <c r="J71" s="3">
        <f>'REALIZADO 2025'!H91*'PREVISTO 2026 REVISADO (2)'!$U$38</f>
        <v>0</v>
      </c>
      <c r="K71" s="3">
        <f>'REALIZADO 2025'!I91*'PREVISTO 2026 REVISADO (2)'!$U$38</f>
        <v>1995.9499999999998</v>
      </c>
      <c r="L71" s="3">
        <f>'REALIZADO 2025'!J91*'PREVISTO 2026 REVISADO (2)'!$U$38</f>
        <v>2999.1499999999996</v>
      </c>
      <c r="M71" s="3">
        <f>'REALIZADO 2025'!K91*'PREVISTO 2026 REVISADO (2)'!$U$38</f>
        <v>1325.06</v>
      </c>
      <c r="N71" s="3">
        <f>'REALIZADO 2025'!L91*'PREVISTO 2026 REVISADO (2)'!$U$38</f>
        <v>0</v>
      </c>
      <c r="O71" s="3">
        <f>'REALIZADO 2025'!M91*'PREVISTO 2026 REVISADO (2)'!$U$38</f>
        <v>0</v>
      </c>
      <c r="P71" s="3">
        <f>'REALIZADO 2025'!N91*'PREVISTO 2026 REVISADO (2)'!$U$38</f>
        <v>710.59999999999991</v>
      </c>
      <c r="Q71" s="3">
        <f>'REALIZADO 2025'!O91*'PREVISTO 2026 REVISADO (2)'!$U$38</f>
        <v>574.75</v>
      </c>
      <c r="R71" s="4">
        <f>SUM(F71:Q71)</f>
        <v>17914.643999999997</v>
      </c>
      <c r="S71" s="25">
        <f t="shared" si="11"/>
        <v>1492.8869999999997</v>
      </c>
      <c r="T71" s="5"/>
    </row>
    <row r="72" spans="3:21" ht="12">
      <c r="C72" s="74" t="s">
        <v>86</v>
      </c>
      <c r="D72" s="74"/>
      <c r="E72" s="74"/>
      <c r="F72" s="8">
        <f>SUM(F73:F77)</f>
        <v>7920.1594999999998</v>
      </c>
      <c r="G72" s="8">
        <f t="shared" ref="G72:Q72" si="12">SUM(G73:G77)</f>
        <v>4267.8635999999997</v>
      </c>
      <c r="H72" s="8">
        <f t="shared" si="12"/>
        <v>8104.9364000000005</v>
      </c>
      <c r="I72" s="8">
        <f t="shared" si="12"/>
        <v>10998.21745</v>
      </c>
      <c r="J72" s="8">
        <f t="shared" si="12"/>
        <v>4601.4798499999997</v>
      </c>
      <c r="K72" s="8">
        <f t="shared" si="12"/>
        <v>2179.5146999999997</v>
      </c>
      <c r="L72" s="8">
        <f t="shared" si="12"/>
        <v>3485.3675999999996</v>
      </c>
      <c r="M72" s="8">
        <f t="shared" si="12"/>
        <v>11692.8812</v>
      </c>
      <c r="N72" s="8">
        <f t="shared" si="12"/>
        <v>8783.601200000001</v>
      </c>
      <c r="O72" s="8">
        <f t="shared" si="12"/>
        <v>3132.9204500000001</v>
      </c>
      <c r="P72" s="8">
        <f t="shared" si="12"/>
        <v>5289.2257</v>
      </c>
      <c r="Q72" s="8">
        <f t="shared" si="12"/>
        <v>3470.30915</v>
      </c>
      <c r="R72" s="9">
        <f>SUM(R73:R77)</f>
        <v>61500.335800000001</v>
      </c>
      <c r="S72" s="28">
        <f t="shared" si="11"/>
        <v>5125.0279833333334</v>
      </c>
      <c r="T72" s="5"/>
    </row>
    <row r="73" spans="3:21" ht="12">
      <c r="C73" s="69" t="s">
        <v>87</v>
      </c>
      <c r="D73" s="69"/>
      <c r="E73" s="69"/>
      <c r="F73" s="3">
        <f>'REALIZADO 2025'!D93*'PREVISTO 2026 REVISADO (2)'!$U$38</f>
        <v>909.15</v>
      </c>
      <c r="G73" s="3">
        <f>'REALIZADO 2025'!E93*'PREVISTO 2026 REVISADO (2)'!$U$38</f>
        <v>0</v>
      </c>
      <c r="H73" s="3">
        <f>'REALIZADO 2025'!F93*'PREVISTO 2026 REVISADO (2)'!$U$38</f>
        <v>0</v>
      </c>
      <c r="I73" s="3">
        <f>'REALIZADO 2025'!G93*'PREVISTO 2026 REVISADO (2)'!$U$38</f>
        <v>0</v>
      </c>
      <c r="J73" s="3">
        <f>'REALIZADO 2025'!H93*'PREVISTO 2026 REVISADO (2)'!$U$38</f>
        <v>0</v>
      </c>
      <c r="K73" s="3">
        <f>'REALIZADO 2025'!I93*'PREVISTO 2026 REVISADO (2)'!$U$38</f>
        <v>0</v>
      </c>
      <c r="L73" s="3">
        <f>'REALIZADO 2025'!J93*'PREVISTO 2026 REVISADO (2)'!$U$38</f>
        <v>0</v>
      </c>
      <c r="M73" s="3">
        <f>'REALIZADO 2025'!K93*'PREVISTO 2026 REVISADO (2)'!$U$38</f>
        <v>0</v>
      </c>
      <c r="N73" s="3">
        <f>'REALIZADO 2025'!L93*'PREVISTO 2026 REVISADO (2)'!$U$38</f>
        <v>0</v>
      </c>
      <c r="O73" s="3">
        <f>'REALIZADO 2025'!M93*'PREVISTO 2026 REVISADO (2)'!$U$38</f>
        <v>0</v>
      </c>
      <c r="P73" s="3">
        <f>'REALIZADO 2025'!N93*'PREVISTO 2026 REVISADO (2)'!$U$38</f>
        <v>109.72499999999999</v>
      </c>
      <c r="Q73" s="3">
        <f>'REALIZADO 2025'!O93*'PREVISTO 2026 REVISADO (2)'!$U$38</f>
        <v>0</v>
      </c>
      <c r="R73" s="4">
        <f>SUM(F73:Q73)</f>
        <v>1018.875</v>
      </c>
      <c r="S73" s="25">
        <f t="shared" si="11"/>
        <v>84.90625</v>
      </c>
      <c r="T73" s="5"/>
    </row>
    <row r="74" spans="3:21" ht="12">
      <c r="C74" s="69" t="s">
        <v>88</v>
      </c>
      <c r="D74" s="69"/>
      <c r="E74" s="69"/>
      <c r="F74" s="3">
        <f>'REALIZADO 2025'!D94*'PREVISTO 2026 REVISADO (2)'!$U$38</f>
        <v>752.4</v>
      </c>
      <c r="G74" s="3">
        <f>'REALIZADO 2025'!E94*'PREVISTO 2026 REVISADO (2)'!$U$38</f>
        <v>686.1887999999999</v>
      </c>
      <c r="H74" s="3">
        <f>'REALIZADO 2025'!F94*'PREVISTO 2026 REVISADO (2)'!$U$38</f>
        <v>818.61119999999994</v>
      </c>
      <c r="I74" s="3">
        <f>'REALIZADO 2025'!G94*'PREVISTO 2026 REVISADO (2)'!$U$38</f>
        <v>1368.9499999999998</v>
      </c>
      <c r="J74" s="3">
        <f>'REALIZADO 2025'!H94*'PREVISTO 2026 REVISADO (2)'!$U$38</f>
        <v>686.1887999999999</v>
      </c>
      <c r="K74" s="3">
        <f>'REALIZADO 2025'!I94*'PREVISTO 2026 REVISADO (2)'!$U$38</f>
        <v>818.61119999999994</v>
      </c>
      <c r="L74" s="3">
        <f>'REALIZADO 2025'!J94*'PREVISTO 2026 REVISADO (2)'!$U$38</f>
        <v>1813.3675999999998</v>
      </c>
      <c r="M74" s="3">
        <f>'REALIZADO 2025'!K94*'PREVISTO 2026 REVISADO (2)'!$U$38</f>
        <v>1575.1911999999998</v>
      </c>
      <c r="N74" s="3">
        <f>'REALIZADO 2025'!L94*'PREVISTO 2026 REVISADO (2)'!$U$38</f>
        <v>1606.5411999999999</v>
      </c>
      <c r="O74" s="3">
        <f>'REALIZADO 2025'!M94*'PREVISTO 2026 REVISADO (2)'!$U$38</f>
        <v>783.75</v>
      </c>
      <c r="P74" s="3">
        <f>'REALIZADO 2025'!N94*'PREVISTO 2026 REVISADO (2)'!$U$38</f>
        <v>714.78</v>
      </c>
      <c r="Q74" s="3">
        <f>'REALIZADO 2025'!O94*'PREVISTO 2026 REVISADO (2)'!$U$38</f>
        <v>852.71999999999991</v>
      </c>
      <c r="R74" s="4">
        <f>SUM(F74:Q74)</f>
        <v>12477.3</v>
      </c>
      <c r="S74" s="25">
        <f t="shared" si="11"/>
        <v>1039.7749999999999</v>
      </c>
      <c r="T74" s="5"/>
    </row>
    <row r="75" spans="3:21" ht="12">
      <c r="C75" s="69" t="s">
        <v>89</v>
      </c>
      <c r="D75" s="69"/>
      <c r="E75" s="69"/>
      <c r="F75" s="3">
        <f>'REALIZADO 2025'!D95*'PREVISTO 2026 REVISADO (2)'!$U$38</f>
        <v>2403.5</v>
      </c>
      <c r="G75" s="3">
        <f>'REALIZADO 2025'!E95*'PREVISTO 2026 REVISADO (2)'!$U$38</f>
        <v>545.49</v>
      </c>
      <c r="H75" s="3">
        <f>'REALIZADO 2025'!F95*'PREVISTO 2026 REVISADO (2)'!$U$38</f>
        <v>447.26</v>
      </c>
      <c r="I75" s="3">
        <f>'REALIZADO 2025'!G95*'PREVISTO 2026 REVISADO (2)'!$U$38</f>
        <v>900.69594999999993</v>
      </c>
      <c r="J75" s="3">
        <f>'REALIZADO 2025'!H95*'PREVISTO 2026 REVISADO (2)'!$U$38</f>
        <v>469.19454999999999</v>
      </c>
      <c r="K75" s="3">
        <f>'REALIZADO 2025'!I95*'PREVISTO 2026 REVISADO (2)'!$U$38</f>
        <v>0</v>
      </c>
      <c r="L75" s="3">
        <f>'REALIZADO 2025'!J95*'PREVISTO 2026 REVISADO (2)'!$U$38</f>
        <v>418</v>
      </c>
      <c r="M75" s="3">
        <f>'REALIZADO 2025'!K95*'PREVISTO 2026 REVISADO (2)'!$U$38</f>
        <v>921.68999999999994</v>
      </c>
      <c r="N75" s="3">
        <f>'REALIZADO 2025'!L95*'PREVISTO 2026 REVISADO (2)'!$U$38</f>
        <v>175.56</v>
      </c>
      <c r="O75" s="3">
        <f>'REALIZADO 2025'!M95*'PREVISTO 2026 REVISADO (2)'!$U$38</f>
        <v>679.26044999999999</v>
      </c>
      <c r="P75" s="3">
        <f>'REALIZADO 2025'!N95*'PREVISTO 2026 REVISADO (2)'!$U$38</f>
        <v>922.48419999999987</v>
      </c>
      <c r="Q75" s="3">
        <f>'REALIZADO 2025'!O95*'PREVISTO 2026 REVISADO (2)'!$U$38</f>
        <v>516.82565</v>
      </c>
      <c r="R75" s="4">
        <f>SUM(F75:Q75)</f>
        <v>8399.9608000000007</v>
      </c>
      <c r="S75" s="25">
        <f t="shared" si="11"/>
        <v>699.9967333333334</v>
      </c>
      <c r="T75" s="5"/>
    </row>
    <row r="76" spans="3:21" ht="12">
      <c r="C76" s="69" t="s">
        <v>90</v>
      </c>
      <c r="D76" s="69"/>
      <c r="E76" s="69"/>
      <c r="F76" s="3">
        <f>'REALIZADO 2025'!D96*'PREVISTO 2026 REVISADO (2)'!$U$38</f>
        <v>1472.5094999999999</v>
      </c>
      <c r="G76" s="3">
        <f>'REALIZADO 2025'!E96*'PREVISTO 2026 REVISADO (2)'!$U$38</f>
        <v>528.1848</v>
      </c>
      <c r="H76" s="3">
        <f>'REALIZADO 2025'!F96*'PREVISTO 2026 REVISADO (2)'!$U$38</f>
        <v>5585.0652</v>
      </c>
      <c r="I76" s="3">
        <f>'REALIZADO 2025'!G96*'PREVISTO 2026 REVISADO (2)'!$U$38</f>
        <v>6136.9714999999997</v>
      </c>
      <c r="J76" s="3">
        <f>'REALIZADO 2025'!H96*'PREVISTO 2026 REVISADO (2)'!$U$38</f>
        <v>2192.0964999999997</v>
      </c>
      <c r="K76" s="3">
        <f>'REALIZADO 2025'!I96*'PREVISTO 2026 REVISADO (2)'!$U$38</f>
        <v>106.90349999999999</v>
      </c>
      <c r="L76" s="3">
        <f>'REALIZADO 2025'!J96*'PREVISTO 2026 REVISADO (2)'!$U$38</f>
        <v>0</v>
      </c>
      <c r="M76" s="3">
        <f>'REALIZADO 2025'!K96*'PREVISTO 2026 REVISADO (2)'!$U$38</f>
        <v>7941.9999999999991</v>
      </c>
      <c r="N76" s="3">
        <f>'REALIZADO 2025'!L96*'PREVISTO 2026 REVISADO (2)'!$U$38</f>
        <v>5747.5</v>
      </c>
      <c r="O76" s="3">
        <f>'REALIZADO 2025'!M96*'PREVISTO 2026 REVISADO (2)'!$U$38</f>
        <v>415.90999999999997</v>
      </c>
      <c r="P76" s="3">
        <f>'REALIZADO 2025'!N96*'PREVISTO 2026 REVISADO (2)'!$U$38</f>
        <v>1870.2365</v>
      </c>
      <c r="Q76" s="3">
        <f>'REALIZADO 2025'!O96*'PREVISTO 2026 REVISADO (2)'!$U$38</f>
        <v>428.76349999999996</v>
      </c>
      <c r="R76" s="4">
        <v>20000</v>
      </c>
      <c r="S76" s="25">
        <f t="shared" si="11"/>
        <v>1666.6666666666667</v>
      </c>
      <c r="T76" s="5"/>
    </row>
    <row r="77" spans="3:21" ht="12">
      <c r="C77" s="69" t="s">
        <v>91</v>
      </c>
      <c r="D77" s="69"/>
      <c r="E77" s="69"/>
      <c r="F77" s="3">
        <f>'REALIZADO 2025'!D97*'PREVISTO 2026 REVISADO (2)'!$U$38</f>
        <v>2382.6</v>
      </c>
      <c r="G77" s="3">
        <f>'REALIZADO 2025'!E97*'PREVISTO 2026 REVISADO (2)'!$U$38</f>
        <v>2508</v>
      </c>
      <c r="H77" s="3">
        <f>'REALIZADO 2025'!F97*'PREVISTO 2026 REVISADO (2)'!$U$38</f>
        <v>1254</v>
      </c>
      <c r="I77" s="3">
        <f>'REALIZADO 2025'!G97*'PREVISTO 2026 REVISADO (2)'!$U$38</f>
        <v>2591.6</v>
      </c>
      <c r="J77" s="3">
        <f>'REALIZADO 2025'!H97*'PREVISTO 2026 REVISADO (2)'!$U$38</f>
        <v>1254</v>
      </c>
      <c r="K77" s="3">
        <f>'REALIZADO 2025'!I97*'PREVISTO 2026 REVISADO (2)'!$U$38</f>
        <v>1254</v>
      </c>
      <c r="L77" s="3">
        <f>'REALIZADO 2025'!J97*'PREVISTO 2026 REVISADO (2)'!$U$38</f>
        <v>1254</v>
      </c>
      <c r="M77" s="3">
        <f>'REALIZADO 2025'!K97*'PREVISTO 2026 REVISADO (2)'!$U$38</f>
        <v>1254</v>
      </c>
      <c r="N77" s="3">
        <f>'REALIZADO 2025'!L97*'PREVISTO 2026 REVISADO (2)'!$U$38</f>
        <v>1254</v>
      </c>
      <c r="O77" s="3">
        <f>'REALIZADO 2025'!M97*'PREVISTO 2026 REVISADO (2)'!$U$38</f>
        <v>1254</v>
      </c>
      <c r="P77" s="3">
        <f>'REALIZADO 2025'!N97*'PREVISTO 2026 REVISADO (2)'!$U$38</f>
        <v>1672</v>
      </c>
      <c r="Q77" s="3">
        <f>'REALIZADO 2025'!O97*'PREVISTO 2026 REVISADO (2)'!$U$38</f>
        <v>1672</v>
      </c>
      <c r="R77" s="4">
        <f>SUM(F77:Q77)</f>
        <v>19604.2</v>
      </c>
      <c r="S77" s="25">
        <f t="shared" si="11"/>
        <v>1633.6833333333334</v>
      </c>
      <c r="T77" s="5"/>
    </row>
    <row r="78" spans="3:21" ht="12">
      <c r="C78" s="74" t="s">
        <v>92</v>
      </c>
      <c r="D78" s="74"/>
      <c r="E78" s="74"/>
      <c r="F78" s="8">
        <f t="shared" ref="F78:R78" si="13">SUM(F79:F85)</f>
        <v>74062.399949999992</v>
      </c>
      <c r="G78" s="8">
        <f t="shared" si="13"/>
        <v>69791.714850000004</v>
      </c>
      <c r="H78" s="8">
        <f t="shared" si="13"/>
        <v>66502.577350000007</v>
      </c>
      <c r="I78" s="8">
        <f t="shared" si="13"/>
        <v>61074.283049999998</v>
      </c>
      <c r="J78" s="8">
        <f t="shared" si="13"/>
        <v>83086.62285</v>
      </c>
      <c r="K78" s="8">
        <f t="shared" si="13"/>
        <v>79588.203200000004</v>
      </c>
      <c r="L78" s="8">
        <f t="shared" si="13"/>
        <v>78941.128749999989</v>
      </c>
      <c r="M78" s="8">
        <f t="shared" si="13"/>
        <v>79605.330749999994</v>
      </c>
      <c r="N78" s="8">
        <f t="shared" si="13"/>
        <v>80961.740749999983</v>
      </c>
      <c r="O78" s="8">
        <f t="shared" si="13"/>
        <v>81007.950649999999</v>
      </c>
      <c r="P78" s="8">
        <f t="shared" si="13"/>
        <v>82550.151199999993</v>
      </c>
      <c r="Q78" s="8">
        <f t="shared" si="13"/>
        <v>79444.923249999993</v>
      </c>
      <c r="R78" s="9">
        <f t="shared" si="13"/>
        <v>916617.02659999998</v>
      </c>
      <c r="S78" s="28">
        <f t="shared" si="11"/>
        <v>76384.75221666666</v>
      </c>
      <c r="T78" s="12" t="s">
        <v>18</v>
      </c>
      <c r="U78" s="13">
        <v>1.0449999999999999</v>
      </c>
    </row>
    <row r="79" spans="3:21" ht="12">
      <c r="C79" s="69" t="s">
        <v>93</v>
      </c>
      <c r="D79" s="69"/>
      <c r="E79" s="69"/>
      <c r="F79" s="3">
        <f>'REALIZADO 2025'!D99*'PREVISTO 2026 REVISADO (2)'!$U$78</f>
        <v>4117.2999999999993</v>
      </c>
      <c r="G79" s="3">
        <f>'REALIZADO 2025'!E99*'PREVISTO 2026 REVISADO (2)'!$U$78</f>
        <v>2058.6499999999996</v>
      </c>
      <c r="H79" s="3">
        <f>'REALIZADO 2025'!F99*'PREVISTO 2026 REVISADO (2)'!$U$78</f>
        <v>0</v>
      </c>
      <c r="I79" s="3">
        <f>'REALIZADO 2025'!G99*'PREVISTO 2026 REVISADO (2)'!$U$78</f>
        <v>0</v>
      </c>
      <c r="J79" s="3">
        <f>'REALIZADO 2025'!H99*'PREVISTO 2026 REVISADO (2)'!$U$78</f>
        <v>6667.0999999999995</v>
      </c>
      <c r="K79" s="3">
        <f>'REALIZADO 2025'!I99*'PREVISTO 2026 REVISADO (2)'!$U$78</f>
        <v>2304.2249999999999</v>
      </c>
      <c r="L79" s="3">
        <f>'REALIZADO 2025'!J99*'PREVISTO 2026 REVISADO (2)'!$U$78</f>
        <v>2304.2249999999999</v>
      </c>
      <c r="M79" s="3">
        <f>'REALIZADO 2025'!K99*'PREVISTO 2026 REVISADO (2)'!$U$78</f>
        <v>2304.2249999999999</v>
      </c>
      <c r="N79" s="3">
        <f>'REALIZADO 2025'!L99*'PREVISTO 2026 REVISADO (2)'!$U$78</f>
        <v>2304.2249999999999</v>
      </c>
      <c r="O79" s="3">
        <f>'REALIZADO 2025'!M99*'PREVISTO 2026 REVISADO (2)'!$U$78</f>
        <v>5334.94445</v>
      </c>
      <c r="P79" s="3">
        <f>'REALIZADO 2025'!N99*'PREVISTO 2026 REVISADO (2)'!$U$78</f>
        <v>2304.2249999999999</v>
      </c>
      <c r="Q79" s="3">
        <f>'REALIZADO 2025'!O99*'PREVISTO 2026 REVISADO (2)'!$U$78</f>
        <v>2304.2249999999999</v>
      </c>
      <c r="R79" s="4">
        <f t="shared" ref="R79:R85" si="14">SUM(F79:Q79)</f>
        <v>32003.344449999993</v>
      </c>
      <c r="S79" s="25">
        <f t="shared" si="11"/>
        <v>2666.9453708333326</v>
      </c>
      <c r="T79" s="5"/>
    </row>
    <row r="80" spans="3:21" ht="12">
      <c r="C80" s="69" t="s">
        <v>94</v>
      </c>
      <c r="D80" s="69"/>
      <c r="E80" s="69"/>
      <c r="F80" s="3">
        <f>'REALIZADO 2025'!D100*'PREVISTO 2026 REVISADO (2)'!$U$78</f>
        <v>2951.08</v>
      </c>
      <c r="G80" s="3">
        <f>'REALIZADO 2025'!E100*'PREVISTO 2026 REVISADO (2)'!$U$78</f>
        <v>3172.62</v>
      </c>
      <c r="H80" s="3">
        <f>'REALIZADO 2025'!F100*'PREVISTO 2026 REVISADO (2)'!$U$78</f>
        <v>3172.62</v>
      </c>
      <c r="I80" s="3">
        <f>'REALIZADO 2025'!G100*'PREVISTO 2026 REVISADO (2)'!$U$78</f>
        <v>3172.62</v>
      </c>
      <c r="J80" s="3">
        <f>'REALIZADO 2025'!H100*'PREVISTO 2026 REVISADO (2)'!$U$78</f>
        <v>3172.62</v>
      </c>
      <c r="K80" s="3">
        <f>'REALIZADO 2025'!I100*'PREVISTO 2026 REVISADO (2)'!$U$78</f>
        <v>3172.62</v>
      </c>
      <c r="L80" s="3">
        <f>'REALIZADO 2025'!J100*'PREVISTO 2026 REVISADO (2)'!$U$78</f>
        <v>3172.62</v>
      </c>
      <c r="M80" s="3">
        <f>'REALIZADO 2025'!K100*'PREVISTO 2026 REVISADO (2)'!$U$78</f>
        <v>3172.62</v>
      </c>
      <c r="N80" s="3">
        <f>'REALIZADO 2025'!L100*'PREVISTO 2026 REVISADO (2)'!$U$78</f>
        <v>3172.62</v>
      </c>
      <c r="O80" s="3">
        <f>'REALIZADO 2025'!M100*'PREVISTO 2026 REVISADO (2)'!$U$78</f>
        <v>3172.62</v>
      </c>
      <c r="P80" s="3">
        <f>'REALIZADO 2025'!N100*'PREVISTO 2026 REVISADO (2)'!$U$78</f>
        <v>3172.62</v>
      </c>
      <c r="Q80" s="3">
        <f>'REALIZADO 2025'!O100*'PREVISTO 2026 REVISADO (2)'!$U$78</f>
        <v>3172.62</v>
      </c>
      <c r="R80" s="4">
        <f t="shared" si="14"/>
        <v>37849.899999999994</v>
      </c>
      <c r="S80" s="25">
        <f t="shared" si="11"/>
        <v>3154.1583333333328</v>
      </c>
      <c r="T80" s="5"/>
    </row>
    <row r="81" spans="3:21" ht="12">
      <c r="C81" s="69" t="s">
        <v>95</v>
      </c>
      <c r="D81" s="69"/>
      <c r="E81" s="69"/>
      <c r="F81" s="3">
        <f>'REALIZADO 2025'!D101*'PREVISTO 2026 REVISADO (2)'!$U$78</f>
        <v>4270.2671</v>
      </c>
      <c r="G81" s="3">
        <f>'REALIZADO 2025'!E101*'PREVISTO 2026 REVISADO (2)'!$U$78</f>
        <v>3642.0444499999999</v>
      </c>
      <c r="H81" s="3">
        <f>'REALIZADO 2025'!F101*'PREVISTO 2026 REVISADO (2)'!$U$78</f>
        <v>2614.7885499999998</v>
      </c>
      <c r="I81" s="3">
        <f>'REALIZADO 2025'!G101*'PREVISTO 2026 REVISADO (2)'!$U$78</f>
        <v>2692.4738499999999</v>
      </c>
      <c r="J81" s="3">
        <f>'REALIZADO 2025'!H101*'PREVISTO 2026 REVISADO (2)'!$U$78</f>
        <v>2692.4633999999996</v>
      </c>
      <c r="K81" s="3">
        <f>'REALIZADO 2025'!I101*'PREVISTO 2026 REVISADO (2)'!$U$78</f>
        <v>3530.1667499999999</v>
      </c>
      <c r="L81" s="3">
        <f>'REALIZADO 2025'!J101*'PREVISTO 2026 REVISADO (2)'!$U$78</f>
        <v>2792.24</v>
      </c>
      <c r="M81" s="3">
        <f>'REALIZADO 2025'!K101*'PREVISTO 2026 REVISADO (2)'!$U$78</f>
        <v>3253.0849999999996</v>
      </c>
      <c r="N81" s="3">
        <f>'REALIZADO 2025'!L101*'PREVISTO 2026 REVISADO (2)'!$U$78</f>
        <v>2864.3449999999998</v>
      </c>
      <c r="O81" s="3">
        <f>'REALIZADO 2025'!M101*'PREVISTO 2026 REVISADO (2)'!$U$78</f>
        <v>2957.35</v>
      </c>
      <c r="P81" s="3">
        <f>'REALIZADO 2025'!N101*'PREVISTO 2026 REVISADO (2)'!$U$78</f>
        <v>3245.77</v>
      </c>
      <c r="Q81" s="3">
        <f>'REALIZADO 2025'!O101*'PREVISTO 2026 REVISADO (2)'!$U$78</f>
        <v>4425.0524999999998</v>
      </c>
      <c r="R81" s="4">
        <f t="shared" si="14"/>
        <v>38980.046599999994</v>
      </c>
      <c r="S81" s="25">
        <f t="shared" si="11"/>
        <v>3248.3372166666663</v>
      </c>
      <c r="T81" s="5"/>
    </row>
    <row r="82" spans="3:21" ht="12">
      <c r="C82" s="69" t="s">
        <v>96</v>
      </c>
      <c r="D82" s="69"/>
      <c r="E82" s="69"/>
      <c r="F82" s="3">
        <f>'REALIZADO 2025'!D102*'PREVISTO 2026 REVISADO (2)'!$U$78</f>
        <v>58965.410349999998</v>
      </c>
      <c r="G82" s="3">
        <f>'REALIZADO 2025'!E102*'PREVISTO 2026 REVISADO (2)'!$U$78</f>
        <v>58988.8079</v>
      </c>
      <c r="H82" s="3">
        <f>'REALIZADO 2025'!F102*'PREVISTO 2026 REVISADO (2)'!$U$78</f>
        <v>58988.8079</v>
      </c>
      <c r="I82" s="3">
        <f>'REALIZADO 2025'!G102*'PREVISTO 2026 REVISADO (2)'!$U$78</f>
        <v>54895.689200000001</v>
      </c>
      <c r="J82" s="3">
        <f>'REALIZADO 2025'!H102*'PREVISTO 2026 REVISADO (2)'!$U$78</f>
        <v>69237.739450000008</v>
      </c>
      <c r="K82" s="3">
        <f>'REALIZADO 2025'!I102*'PREVISTO 2026 REVISADO (2)'!$U$78</f>
        <v>68417.163650000002</v>
      </c>
      <c r="L82" s="3">
        <f>'REALIZADO 2025'!J102*'PREVISTO 2026 REVISADO (2)'!$U$78</f>
        <v>64109.025749999993</v>
      </c>
      <c r="M82" s="3">
        <f>'REALIZADO 2025'!K102*'PREVISTO 2026 REVISADO (2)'!$U$78</f>
        <v>64109.025749999993</v>
      </c>
      <c r="N82" s="3">
        <f>'REALIZADO 2025'!L102*'PREVISTO 2026 REVISADO (2)'!$U$78</f>
        <v>64109.025749999993</v>
      </c>
      <c r="O82" s="3">
        <f>'REALIZADO 2025'!M102*'PREVISTO 2026 REVISADO (2)'!$U$78</f>
        <v>64109.036199999995</v>
      </c>
      <c r="P82" s="3">
        <f>'REALIZADO 2025'!N102*'PREVISTO 2026 REVISADO (2)'!$U$78</f>
        <v>64109.036199999995</v>
      </c>
      <c r="Q82" s="3">
        <f>'REALIZADO 2025'!O102*'PREVISTO 2026 REVISADO (2)'!$U$78</f>
        <v>64109.025749999993</v>
      </c>
      <c r="R82" s="4">
        <f t="shared" si="14"/>
        <v>754147.7938499999</v>
      </c>
      <c r="S82" s="25">
        <f t="shared" si="11"/>
        <v>62845.649487499992</v>
      </c>
      <c r="T82" s="5"/>
    </row>
    <row r="83" spans="3:21" ht="12">
      <c r="C83" s="69" t="s">
        <v>97</v>
      </c>
      <c r="D83" s="69"/>
      <c r="E83" s="69"/>
      <c r="F83" s="3">
        <f>'REALIZADO 2025'!D103*'PREVISTO 2026 REVISADO (2)'!$U$78</f>
        <v>0</v>
      </c>
      <c r="G83" s="3">
        <f>'REALIZADO 2025'!E103*'PREVISTO 2026 REVISADO (2)'!$U$78</f>
        <v>0</v>
      </c>
      <c r="H83" s="3">
        <f>'REALIZADO 2025'!F103*'PREVISTO 2026 REVISADO (2)'!$U$78</f>
        <v>0</v>
      </c>
      <c r="I83" s="3">
        <f>'REALIZADO 2025'!G103*'PREVISTO 2026 REVISADO (2)'!$U$78</f>
        <v>0</v>
      </c>
      <c r="J83" s="3">
        <f>'REALIZADO 2025'!H103*'PREVISTO 2026 REVISADO (2)'!$U$78</f>
        <v>0</v>
      </c>
      <c r="K83" s="3">
        <f>'REALIZADO 2025'!I103*'PREVISTO 2026 REVISADO (2)'!$U$78</f>
        <v>0</v>
      </c>
      <c r="L83" s="3">
        <f>'REALIZADO 2025'!J103*'PREVISTO 2026 REVISADO (2)'!$U$78</f>
        <v>0</v>
      </c>
      <c r="M83" s="3">
        <f>'REALIZADO 2025'!K103*'PREVISTO 2026 REVISADO (2)'!$U$78</f>
        <v>5198.875</v>
      </c>
      <c r="N83" s="3">
        <f>'REALIZADO 2025'!L103*'PREVISTO 2026 REVISADO (2)'!$U$78</f>
        <v>627</v>
      </c>
      <c r="O83" s="3">
        <f>'REALIZADO 2025'!M103*'PREVISTO 2026 REVISADO (2)'!$U$78</f>
        <v>0</v>
      </c>
      <c r="P83" s="3">
        <f>'REALIZADO 2025'!N103*'PREVISTO 2026 REVISADO (2)'!$U$78</f>
        <v>4702.5</v>
      </c>
      <c r="Q83" s="3">
        <f>'REALIZADO 2025'!O103*'PREVISTO 2026 REVISADO (2)'!$U$78</f>
        <v>0</v>
      </c>
      <c r="R83" s="4">
        <f t="shared" si="14"/>
        <v>10528.375</v>
      </c>
      <c r="S83" s="25">
        <f t="shared" si="11"/>
        <v>877.36458333333337</v>
      </c>
      <c r="T83" s="5"/>
    </row>
    <row r="84" spans="3:21" ht="12">
      <c r="C84" s="69" t="s">
        <v>98</v>
      </c>
      <c r="D84" s="69"/>
      <c r="E84" s="69"/>
      <c r="F84" s="3">
        <f>'REALIZADO 2025'!D104*'PREVISTO 2026 REVISADO (2)'!$U$78</f>
        <v>2508</v>
      </c>
      <c r="G84" s="3">
        <f>'REALIZADO 2025'!E104*'PREVISTO 2026 REVISADO (2)'!$U$78</f>
        <v>679.25</v>
      </c>
      <c r="H84" s="3">
        <f>'REALIZADO 2025'!F104*'PREVISTO 2026 REVISADO (2)'!$U$78</f>
        <v>476.01839999999993</v>
      </c>
      <c r="I84" s="3">
        <f>'REALIZADO 2025'!G104*'PREVISTO 2026 REVISADO (2)'!$U$78</f>
        <v>313.5</v>
      </c>
      <c r="J84" s="3">
        <f>'REALIZADO 2025'!H104*'PREVISTO 2026 REVISADO (2)'!$U$78</f>
        <v>0</v>
      </c>
      <c r="K84" s="3">
        <f>'REALIZADO 2025'!I104*'PREVISTO 2026 REVISADO (2)'!$U$78</f>
        <v>2164.0277999999998</v>
      </c>
      <c r="L84" s="3">
        <f>'REALIZADO 2025'!J104*'PREVISTO 2026 REVISADO (2)'!$U$78</f>
        <v>746.54799999999989</v>
      </c>
      <c r="M84" s="3">
        <f>'REALIZADO 2025'!K104*'PREVISTO 2026 REVISADO (2)'!$U$78</f>
        <v>1567.5</v>
      </c>
      <c r="N84" s="3">
        <f>'REALIZADO 2025'!L104*'PREVISTO 2026 REVISADO (2)'!$U$78</f>
        <v>0</v>
      </c>
      <c r="O84" s="3">
        <f>'REALIZADO 2025'!M104*'PREVISTO 2026 REVISADO (2)'!$U$78</f>
        <v>418</v>
      </c>
      <c r="P84" s="3">
        <f>'REALIZADO 2025'!N104*'PREVISTO 2026 REVISADO (2)'!$U$78</f>
        <v>0</v>
      </c>
      <c r="Q84" s="3">
        <f>'REALIZADO 2025'!O104*'PREVISTO 2026 REVISADO (2)'!$U$78</f>
        <v>418</v>
      </c>
      <c r="R84" s="4">
        <f t="shared" si="14"/>
        <v>9290.8441999999995</v>
      </c>
      <c r="S84" s="25">
        <f t="shared" si="11"/>
        <v>774.23701666666659</v>
      </c>
      <c r="T84" s="5"/>
    </row>
    <row r="85" spans="3:21" ht="12">
      <c r="C85" s="69" t="s">
        <v>99</v>
      </c>
      <c r="D85" s="69"/>
      <c r="E85" s="69"/>
      <c r="F85" s="3">
        <f>'REALIZADO 2025'!D106*'PREVISTO 2026 REVISADO (2)'!$U$78</f>
        <v>1250.3425</v>
      </c>
      <c r="G85" s="3">
        <f>'REALIZADO 2025'!E106*'PREVISTO 2026 REVISADO (2)'!$U$78</f>
        <v>1250.3425</v>
      </c>
      <c r="H85" s="3">
        <f>'REALIZADO 2025'!F106*'PREVISTO 2026 REVISADO (2)'!$U$78</f>
        <v>1250.3425</v>
      </c>
      <c r="I85" s="3">
        <f>'REALIZADO 2025'!G106*'PREVISTO 2026 REVISADO (2)'!$U$78</f>
        <v>0</v>
      </c>
      <c r="J85" s="3">
        <f>'REALIZADO 2025'!H106*'PREVISTO 2026 REVISADO (2)'!$U$78</f>
        <v>1316.6999999999998</v>
      </c>
      <c r="K85" s="3">
        <f>'REALIZADO 2025'!I106*'PREVISTO 2026 REVISADO (2)'!$U$78</f>
        <v>0</v>
      </c>
      <c r="L85" s="3">
        <f>'REALIZADO 2025'!J106*'PREVISTO 2026 REVISADO (2)'!$U$78</f>
        <v>5816.4699999999993</v>
      </c>
      <c r="M85" s="3">
        <f>'REALIZADO 2025'!K106*'PREVISTO 2026 REVISADO (2)'!$U$78</f>
        <v>0</v>
      </c>
      <c r="N85" s="3">
        <f>'REALIZADO 2025'!L106*'PREVISTO 2026 REVISADO (2)'!$U$78</f>
        <v>7884.5249999999996</v>
      </c>
      <c r="O85" s="3">
        <f>'REALIZADO 2025'!M106*'PREVISTO 2026 REVISADO (2)'!$U$78</f>
        <v>5016</v>
      </c>
      <c r="P85" s="3">
        <f>'REALIZADO 2025'!N106*'PREVISTO 2026 REVISADO (2)'!$U$78</f>
        <v>5016</v>
      </c>
      <c r="Q85" s="3">
        <f>'REALIZADO 2025'!O106*'PREVISTO 2026 REVISADO (2)'!$U$78</f>
        <v>5016</v>
      </c>
      <c r="R85" s="4">
        <f t="shared" si="14"/>
        <v>33816.722499999996</v>
      </c>
      <c r="S85" s="25">
        <f t="shared" si="11"/>
        <v>2818.0602083333329</v>
      </c>
      <c r="T85" s="5"/>
    </row>
    <row r="86" spans="3:21" ht="12">
      <c r="C86" s="74" t="s">
        <v>100</v>
      </c>
      <c r="D86" s="74"/>
      <c r="E86" s="74"/>
      <c r="F86" s="8">
        <f>SUM(F87:F96)</f>
        <v>13871.8943</v>
      </c>
      <c r="G86" s="8">
        <f>SUM(G87:G96)</f>
        <v>20017.058599999997</v>
      </c>
      <c r="H86" s="8">
        <f>SUM(H87:H96)</f>
        <v>18725.417699999995</v>
      </c>
      <c r="I86" s="8">
        <f>SUM(I87:I96)</f>
        <v>7115.7602999999981</v>
      </c>
      <c r="J86" s="8">
        <f>SUM(J87:J96)</f>
        <v>33776.176500000001</v>
      </c>
      <c r="K86" s="8">
        <f>SUM(K87:K96)</f>
        <v>17102.8253</v>
      </c>
      <c r="L86" s="8">
        <f>SUM(L87:L96)</f>
        <v>16127.474549999999</v>
      </c>
      <c r="M86" s="8">
        <f>SUM(M87:M96)</f>
        <v>17502.4751</v>
      </c>
      <c r="N86" s="8">
        <f>SUM(N87:N96)</f>
        <v>14729.24365</v>
      </c>
      <c r="O86" s="8">
        <f>SUM(O87:O96)</f>
        <v>16369.684649999999</v>
      </c>
      <c r="P86" s="8">
        <f>SUM(P87:P96)</f>
        <v>17673.928250000001</v>
      </c>
      <c r="Q86" s="8">
        <f>SUM(Q87:Q96)</f>
        <v>9433.4449000000004</v>
      </c>
      <c r="R86" s="9">
        <f>SUM(R87:R99)</f>
        <v>167560.79994999996</v>
      </c>
      <c r="S86" s="28">
        <f>R86/12</f>
        <v>13963.39999583333</v>
      </c>
      <c r="T86" s="12" t="s">
        <v>18</v>
      </c>
      <c r="U86" s="13">
        <v>1.0449999999999999</v>
      </c>
    </row>
    <row r="87" spans="3:21" ht="12">
      <c r="C87" s="69" t="s">
        <v>101</v>
      </c>
      <c r="D87" s="69"/>
      <c r="E87" s="69"/>
      <c r="F87" s="3">
        <f>'REALIZADO 2025'!D109*'PREVISTO 2026 REVISADO (2)'!$U$86</f>
        <v>11147.161299999998</v>
      </c>
      <c r="G87" s="3">
        <f>'REALIZADO 2025'!E109*'PREVISTO 2026 REVISADO (2)'!$U$86</f>
        <v>13803.467699999999</v>
      </c>
      <c r="H87" s="3">
        <f>'REALIZADO 2025'!F109*'PREVISTO 2026 REVISADO (2)'!$U$86</f>
        <v>13427.445349999998</v>
      </c>
      <c r="I87" s="3">
        <f>'REALIZADO 2025'!G109*'PREVISTO 2026 REVISADO (2)'!$U$86</f>
        <v>0</v>
      </c>
      <c r="J87" s="3">
        <f>'REALIZADO 2025'!H109*'PREVISTO 2026 REVISADO (2)'!$U$86</f>
        <v>28468.809600000001</v>
      </c>
      <c r="K87" s="3">
        <f>'REALIZADO 2025'!I109*'PREVISTO 2026 REVISADO (2)'!$U$86</f>
        <v>12181.690399999999</v>
      </c>
      <c r="L87" s="3">
        <f>'REALIZADO 2025'!J109*'PREVISTO 2026 REVISADO (2)'!$U$86</f>
        <v>11368.02205</v>
      </c>
      <c r="M87" s="3">
        <f>'REALIZADO 2025'!K109*'PREVISTO 2026 REVISADO (2)'!$U$86</f>
        <v>12092.41605</v>
      </c>
      <c r="N87" s="3">
        <f>'REALIZADO 2025'!L109*'PREVISTO 2026 REVISADO (2)'!$U$86</f>
        <v>10096.90495</v>
      </c>
      <c r="O87" s="3">
        <f>'REALIZADO 2025'!M109*'PREVISTO 2026 REVISADO (2)'!$U$86</f>
        <v>11488.604599999999</v>
      </c>
      <c r="P87" s="3">
        <f>'REALIZADO 2025'!N109*'PREVISTO 2026 REVISADO (2)'!$U$86</f>
        <v>10722.0762</v>
      </c>
      <c r="Q87" s="3">
        <f>'REALIZADO 2025'!O109*'PREVISTO 2026 REVISADO (2)'!$U$86</f>
        <v>3925.4797999999996</v>
      </c>
      <c r="R87" s="4">
        <v>70000</v>
      </c>
      <c r="S87" s="25">
        <f t="shared" si="11"/>
        <v>5833.333333333333</v>
      </c>
      <c r="T87" s="5"/>
    </row>
    <row r="88" spans="3:21" ht="12">
      <c r="C88" s="69" t="s">
        <v>105</v>
      </c>
      <c r="D88" s="69"/>
      <c r="E88" s="69"/>
      <c r="F88" s="3">
        <f>'REALIZADO 2025'!D113*'PREVISTO 2026 REVISADO (2)'!$U$86</f>
        <v>0</v>
      </c>
      <c r="G88" s="3">
        <f>'REALIZADO 2025'!E113*'PREVISTO 2026 REVISADO (2)'!$U$86</f>
        <v>2439.7823999999996</v>
      </c>
      <c r="H88" s="3">
        <f>'REALIZADO 2025'!F113*'PREVISTO 2026 REVISADO (2)'!$U$86</f>
        <v>2439.7823999999996</v>
      </c>
      <c r="I88" s="3">
        <f>'REALIZADO 2025'!G113*'PREVISTO 2026 REVISADO (2)'!$U$86</f>
        <v>2439.7823999999996</v>
      </c>
      <c r="J88" s="3">
        <f>'REALIZADO 2025'!H113*'PREVISTO 2026 REVISADO (2)'!$U$86</f>
        <v>2439.7823999999996</v>
      </c>
      <c r="K88" s="3">
        <f>'REALIZADO 2025'!I113*'PREVISTO 2026 REVISADO (2)'!$U$86</f>
        <v>2439.7823999999996</v>
      </c>
      <c r="L88" s="3">
        <f>'REALIZADO 2025'!J113*'PREVISTO 2026 REVISADO (2)'!$U$86</f>
        <v>2439.7823999999996</v>
      </c>
      <c r="M88" s="3">
        <f>'REALIZADO 2025'!K113*'PREVISTO 2026 REVISADO (2)'!$U$86</f>
        <v>2439.7823999999996</v>
      </c>
      <c r="N88" s="3">
        <f>'REALIZADO 2025'!L113*'PREVISTO 2026 REVISADO (2)'!$U$86</f>
        <v>2439.7823999999996</v>
      </c>
      <c r="O88" s="3">
        <f>'REALIZADO 2025'!M113*'PREVISTO 2026 REVISADO (2)'!$U$86</f>
        <v>2439.7823999999996</v>
      </c>
      <c r="P88" s="3">
        <f>'REALIZADO 2025'!N113*'PREVISTO 2026 REVISADO (2)'!$U$86</f>
        <v>2649.4512</v>
      </c>
      <c r="Q88" s="3">
        <f>'REALIZADO 2025'!O113*'PREVISTO 2026 REVISADO (2)'!$U$86</f>
        <v>2649.4512</v>
      </c>
      <c r="R88" s="4">
        <f>SUM(F88:Q88)</f>
        <v>27256.943999999996</v>
      </c>
      <c r="S88" s="25">
        <f>R88/12</f>
        <v>2271.4119999999998</v>
      </c>
      <c r="T88" s="5"/>
    </row>
    <row r="89" spans="3:21" ht="12">
      <c r="C89" s="69" t="s">
        <v>106</v>
      </c>
      <c r="D89" s="69"/>
      <c r="E89" s="69"/>
      <c r="F89" s="3">
        <f>'REALIZADO 2025'!D114*'PREVISTO 2026 REVISADO (2)'!$U$86</f>
        <v>102.8489</v>
      </c>
      <c r="G89" s="3">
        <f>'REALIZADO 2025'!E114*'PREVISTO 2026 REVISADO (2)'!$U$86</f>
        <v>105.09564999999999</v>
      </c>
      <c r="H89" s="3">
        <f>'REALIZADO 2025'!F114*'PREVISTO 2026 REVISADO (2)'!$U$86</f>
        <v>104.92844999999998</v>
      </c>
      <c r="I89" s="3">
        <f>'REALIZADO 2025'!G114*'PREVISTO 2026 REVISADO (2)'!$U$86</f>
        <v>104.92844999999998</v>
      </c>
      <c r="J89" s="3">
        <f>'REALIZADO 2025'!H114*'PREVISTO 2026 REVISADO (2)'!$U$86</f>
        <v>102.8489</v>
      </c>
      <c r="K89" s="3">
        <f>'REALIZADO 2025'!I114*'PREVISTO 2026 REVISADO (2)'!$U$86</f>
        <v>0</v>
      </c>
      <c r="L89" s="3">
        <f>'REALIZADO 2025'!J114*'PREVISTO 2026 REVISADO (2)'!$U$86</f>
        <v>102.8489</v>
      </c>
      <c r="M89" s="3">
        <f>'REALIZADO 2025'!K114*'PREVISTO 2026 REVISADO (2)'!$U$86</f>
        <v>102.8489</v>
      </c>
      <c r="N89" s="3">
        <f>'REALIZADO 2025'!L114*'PREVISTO 2026 REVISADO (2)'!$U$86</f>
        <v>102.8489</v>
      </c>
      <c r="O89" s="3">
        <f>'REALIZADO 2025'!M114*'PREVISTO 2026 REVISADO (2)'!$U$86</f>
        <v>102.8489</v>
      </c>
      <c r="P89" s="3">
        <f>'REALIZADO 2025'!N114*'PREVISTO 2026 REVISADO (2)'!$U$86</f>
        <v>102.8489</v>
      </c>
      <c r="Q89" s="3">
        <f>'REALIZADO 2025'!O114*'PREVISTO 2026 REVISADO (2)'!$U$86</f>
        <v>92.273499999999984</v>
      </c>
      <c r="R89" s="4">
        <f>SUM(F89:Q89)</f>
        <v>1127.1683499999999</v>
      </c>
      <c r="S89" s="25">
        <f>R89/12</f>
        <v>93.930695833333331</v>
      </c>
      <c r="T89" s="5"/>
    </row>
    <row r="90" spans="3:21" ht="12">
      <c r="C90" s="69" t="s">
        <v>107</v>
      </c>
      <c r="D90" s="69"/>
      <c r="E90" s="69"/>
      <c r="F90" s="3">
        <f>'REALIZADO 2025'!D115*'PREVISTO 2026 REVISADO (2)'!$U$86</f>
        <v>208.98955000000001</v>
      </c>
      <c r="G90" s="3">
        <f>'REALIZADO 2025'!E115*'PREVISTO 2026 REVISADO (2)'!$U$86</f>
        <v>594.66769999999985</v>
      </c>
      <c r="H90" s="3">
        <f>'REALIZADO 2025'!F115*'PREVISTO 2026 REVISADO (2)'!$U$86</f>
        <v>188.39259999999999</v>
      </c>
      <c r="I90" s="3">
        <f>'REALIZADO 2025'!G115*'PREVISTO 2026 REVISADO (2)'!$U$86</f>
        <v>619.47599999999989</v>
      </c>
      <c r="J90" s="3">
        <f>'REALIZADO 2025'!H115*'PREVISTO 2026 REVISADO (2)'!$U$86</f>
        <v>411.88674999999995</v>
      </c>
      <c r="K90" s="3">
        <f>'REALIZADO 2025'!I115*'PREVISTO 2026 REVISADO (2)'!$U$86</f>
        <v>197.48409999999998</v>
      </c>
      <c r="L90" s="3">
        <f>'REALIZADO 2025'!J115*'PREVISTO 2026 REVISADO (2)'!$U$86</f>
        <v>312.36095</v>
      </c>
      <c r="M90" s="3">
        <f>'REALIZADO 2025'!K115*'PREVISTO 2026 REVISADO (2)'!$U$86</f>
        <v>0</v>
      </c>
      <c r="N90" s="3">
        <f>'REALIZADO 2025'!L115*'PREVISTO 2026 REVISADO (2)'!$U$86</f>
        <v>208.98955000000001</v>
      </c>
      <c r="O90" s="3">
        <f>'REALIZADO 2025'!M115*'PREVISTO 2026 REVISADO (2)'!$U$86</f>
        <v>197.72444999999999</v>
      </c>
      <c r="P90" s="3">
        <f>'REALIZADO 2025'!N115*'PREVISTO 2026 REVISADO (2)'!$U$86</f>
        <v>441.06314999999995</v>
      </c>
      <c r="Q90" s="3">
        <f>'REALIZADO 2025'!O115*'PREVISTO 2026 REVISADO (2)'!$U$86</f>
        <v>88.626449999999991</v>
      </c>
      <c r="R90" s="4">
        <f>SUM(F90:Q90)</f>
        <v>3469.6612500000001</v>
      </c>
      <c r="S90" s="25">
        <f>R90/12</f>
        <v>289.13843750000001</v>
      </c>
      <c r="T90" s="5"/>
    </row>
    <row r="92" spans="3:21" ht="12">
      <c r="C92" s="69" t="s">
        <v>108</v>
      </c>
      <c r="D92" s="69"/>
      <c r="E92" s="69"/>
      <c r="F92" s="3">
        <f>'REALIZADO 2025'!D116*'PREVISTO 2026 REVISADO (2)'!$U$86</f>
        <v>0</v>
      </c>
      <c r="G92" s="3">
        <f>'REALIZADO 2025'!E116*'PREVISTO 2026 REVISADO (2)'!$U$86</f>
        <v>128.21105</v>
      </c>
      <c r="H92" s="3">
        <f>'REALIZADO 2025'!F116*'PREVISTO 2026 REVISADO (2)'!$U$86</f>
        <v>256.4221</v>
      </c>
      <c r="I92" s="3">
        <f>'REALIZADO 2025'!G116*'PREVISTO 2026 REVISADO (2)'!$U$86</f>
        <v>9.5408500000000007</v>
      </c>
      <c r="J92" s="3">
        <f>'REALIZADO 2025'!H116*'PREVISTO 2026 REVISADO (2)'!$U$86</f>
        <v>128.21105</v>
      </c>
      <c r="K92" s="3">
        <f>'REALIZADO 2025'!I116*'PREVISTO 2026 REVISADO (2)'!$U$86</f>
        <v>140.35395</v>
      </c>
      <c r="L92" s="3">
        <f>'REALIZADO 2025'!J116*'PREVISTO 2026 REVISADO (2)'!$U$86</f>
        <v>0</v>
      </c>
      <c r="M92" s="3">
        <f>'REALIZADO 2025'!K116*'PREVISTO 2026 REVISADO (2)'!$U$86</f>
        <v>335.35095000000001</v>
      </c>
      <c r="N92" s="3">
        <f>'REALIZADO 2025'!L116*'PREVISTO 2026 REVISADO (2)'!$U$86</f>
        <v>140.11359999999999</v>
      </c>
      <c r="O92" s="3">
        <f>'REALIZADO 2025'!M116*'PREVISTO 2026 REVISADO (2)'!$U$86</f>
        <v>140.90779999999998</v>
      </c>
      <c r="P92" s="3">
        <f>'REALIZADO 2025'!N116*'PREVISTO 2026 REVISADO (2)'!$U$86</f>
        <v>140.90779999999998</v>
      </c>
      <c r="Q92" s="3">
        <f>'REALIZADO 2025'!O116*'PREVISTO 2026 REVISADO (2)'!$U$86</f>
        <v>140.90779999999998</v>
      </c>
      <c r="R92" s="4">
        <f>SUM(F92:Q92)</f>
        <v>1560.9269499999998</v>
      </c>
      <c r="S92" s="25">
        <f>R92/12</f>
        <v>130.07724583333331</v>
      </c>
      <c r="T92" s="5"/>
    </row>
    <row r="93" spans="3:21" ht="12">
      <c r="C93" s="69" t="s">
        <v>109</v>
      </c>
      <c r="D93" s="69"/>
      <c r="E93" s="69"/>
      <c r="F93" s="3">
        <f>'REALIZADO 2025'!D117*'PREVISTO 2026 REVISADO (2)'!$U$86</f>
        <v>101.25004999999999</v>
      </c>
      <c r="G93" s="3">
        <f>'REALIZADO 2025'!E117*'PREVISTO 2026 REVISADO (2)'!$U$86</f>
        <v>101.25004999999999</v>
      </c>
      <c r="H93" s="3">
        <f>'REALIZADO 2025'!F117*'PREVISTO 2026 REVISADO (2)'!$U$86</f>
        <v>101.25004999999999</v>
      </c>
      <c r="I93" s="3">
        <f>'REALIZADO 2025'!G117*'PREVISTO 2026 REVISADO (2)'!$U$86</f>
        <v>101.25004999999999</v>
      </c>
      <c r="J93" s="3">
        <f>'REALIZADO 2025'!H117*'PREVISTO 2026 REVISADO (2)'!$U$86</f>
        <v>0</v>
      </c>
      <c r="K93" s="3">
        <f>'REALIZADO 2025'!I117*'PREVISTO 2026 REVISADO (2)'!$U$86</f>
        <v>550.70454999999993</v>
      </c>
      <c r="L93" s="3">
        <f>'REALIZADO 2025'!J117*'PREVISTO 2026 REVISADO (2)'!$U$86</f>
        <v>137.75189999999998</v>
      </c>
      <c r="M93" s="3">
        <f>'REALIZADO 2025'!K117*'PREVISTO 2026 REVISADO (2)'!$U$86</f>
        <v>352.46805000000001</v>
      </c>
      <c r="N93" s="3">
        <f>'REALIZADO 2025'!L117*'PREVISTO 2026 REVISADO (2)'!$U$86</f>
        <v>97.007349999999988</v>
      </c>
      <c r="O93" s="3">
        <f>'REALIZADO 2025'!M117*'PREVISTO 2026 REVISADO (2)'!$U$86</f>
        <v>310.67849999999999</v>
      </c>
      <c r="P93" s="3">
        <f>'REALIZADO 2025'!N117*'PREVISTO 2026 REVISADO (2)'!$U$86</f>
        <v>208.98955000000001</v>
      </c>
      <c r="Q93" s="3">
        <f>'REALIZADO 2025'!O117*'PREVISTO 2026 REVISADO (2)'!$U$86</f>
        <v>308.93334999999996</v>
      </c>
      <c r="R93" s="4">
        <f>SUM(F93:Q93)</f>
        <v>2371.5334499999994</v>
      </c>
      <c r="S93" s="25">
        <f>R93/12</f>
        <v>197.62778749999995</v>
      </c>
      <c r="T93" s="5"/>
    </row>
    <row r="94" spans="3:21" ht="12" customHeight="1">
      <c r="C94" s="69" t="s">
        <v>110</v>
      </c>
      <c r="D94" s="92"/>
      <c r="E94" s="92"/>
      <c r="F94" s="3">
        <f>'REALIZADO 2025'!D118*'PREVISTO 2026 REVISADO (2)'!$U$86</f>
        <v>36.470499999999994</v>
      </c>
      <c r="G94" s="3">
        <f>'REALIZADO 2025'!E118*'PREVISTO 2026 REVISADO (2)'!$U$86</f>
        <v>36.470499999999994</v>
      </c>
      <c r="H94" s="3">
        <f>'REALIZADO 2025'!F118*'PREVISTO 2026 REVISADO (2)'!$U$86</f>
        <v>36.470499999999994</v>
      </c>
      <c r="I94" s="3">
        <f>'REALIZADO 2025'!G118*'PREVISTO 2026 REVISADO (2)'!$U$86</f>
        <v>36.470499999999994</v>
      </c>
      <c r="J94" s="3">
        <f>'REALIZADO 2025'!H118*'PREVISTO 2026 REVISADO (2)'!$U$86</f>
        <v>36.470499999999994</v>
      </c>
      <c r="K94" s="3">
        <f>'REALIZADO 2025'!I118*'PREVISTO 2026 REVISADO (2)'!$U$86</f>
        <v>0</v>
      </c>
      <c r="L94" s="3">
        <f>'REALIZADO 2025'!J118*'PREVISTO 2026 REVISADO (2)'!$U$86</f>
        <v>36.470499999999994</v>
      </c>
      <c r="M94" s="3">
        <f>'REALIZADO 2025'!K118*'PREVISTO 2026 REVISADO (2)'!$U$86</f>
        <v>36.470499999999994</v>
      </c>
      <c r="N94" s="3">
        <f>'REALIZADO 2025'!L118*'PREVISTO 2026 REVISADO (2)'!$U$86</f>
        <v>36.470499999999994</v>
      </c>
      <c r="O94" s="3">
        <f>'REALIZADO 2025'!M118*'PREVISTO 2026 REVISADO (2)'!$U$86</f>
        <v>36.470499999999994</v>
      </c>
      <c r="P94" s="3">
        <f>'REALIZADO 2025'!N118*'PREVISTO 2026 REVISADO (2)'!$U$86</f>
        <v>36.470499999999994</v>
      </c>
      <c r="Q94" s="3">
        <f>'REALIZADO 2025'!O118*'PREVISTO 2026 REVISADO (2)'!$U$86</f>
        <v>36.470499999999994</v>
      </c>
      <c r="R94" s="4">
        <f>SUM(F94:Q94)</f>
        <v>401.1755</v>
      </c>
      <c r="S94" s="25">
        <f>R94/12</f>
        <v>33.431291666666667</v>
      </c>
      <c r="T94" s="5"/>
    </row>
    <row r="95" spans="3:21" ht="12" customHeight="1">
      <c r="C95" s="69" t="s">
        <v>111</v>
      </c>
      <c r="D95" s="92"/>
      <c r="E95" s="92"/>
      <c r="F95" s="3">
        <f>'REALIZADO 2025'!D119*'PREVISTO 2026 REVISADO (2)'!$U$86</f>
        <v>762.84999999999991</v>
      </c>
      <c r="G95" s="3">
        <f>'REALIZADO 2025'!E119*'PREVISTO 2026 REVISADO (2)'!$U$86</f>
        <v>0</v>
      </c>
      <c r="H95" s="3">
        <f>'REALIZADO 2025'!F119*'PREVISTO 2026 REVISADO (2)'!$U$86</f>
        <v>0</v>
      </c>
      <c r="I95" s="3">
        <f>'REALIZADO 2025'!G119*'PREVISTO 2026 REVISADO (2)'!$U$86</f>
        <v>893.47499999999991</v>
      </c>
      <c r="J95" s="3">
        <f>'REALIZADO 2025'!H119*'PREVISTO 2026 REVISADO (2)'!$U$86</f>
        <v>0</v>
      </c>
      <c r="K95" s="3">
        <f>'REALIZADO 2025'!I119*'PREVISTO 2026 REVISADO (2)'!$U$86</f>
        <v>0</v>
      </c>
      <c r="L95" s="3">
        <f>'REALIZADO 2025'!J119*'PREVISTO 2026 REVISADO (2)'!$U$86</f>
        <v>0</v>
      </c>
      <c r="M95" s="3">
        <f>'REALIZADO 2025'!K119*'PREVISTO 2026 REVISADO (2)'!$U$86</f>
        <v>893.47499999999991</v>
      </c>
      <c r="N95" s="3">
        <f>'REALIZADO 2025'!L119*'PREVISTO 2026 REVISADO (2)'!$U$86</f>
        <v>0</v>
      </c>
      <c r="O95" s="3">
        <f>'REALIZADO 2025'!M119*'PREVISTO 2026 REVISADO (2)'!$U$86</f>
        <v>0</v>
      </c>
      <c r="P95" s="3">
        <f>'REALIZADO 2025'!N119*'PREVISTO 2026 REVISADO (2)'!$U$86</f>
        <v>893.47499999999991</v>
      </c>
      <c r="Q95" s="3">
        <f>'REALIZADO 2025'!O119*'PREVISTO 2026 REVISADO (2)'!$U$86</f>
        <v>0</v>
      </c>
      <c r="R95" s="4">
        <f>SUM(F95:Q95)</f>
        <v>3443.2749999999996</v>
      </c>
      <c r="S95" s="25">
        <f>R95/12</f>
        <v>286.9395833333333</v>
      </c>
      <c r="T95" s="5"/>
    </row>
    <row r="96" spans="3:21" ht="12" customHeight="1">
      <c r="C96" s="69" t="s">
        <v>112</v>
      </c>
      <c r="D96" s="92"/>
      <c r="E96" s="92"/>
      <c r="F96" s="3">
        <f>'REALIZADO 2025'!D120*'PREVISTO 2026 REVISADO (2)'!$U$86</f>
        <v>1512.3239999999998</v>
      </c>
      <c r="G96" s="3">
        <f>'REALIZADO 2025'!E120*'PREVISTO 2026 REVISADO (2)'!$U$86</f>
        <v>2808.11355</v>
      </c>
      <c r="H96" s="3">
        <f>'REALIZADO 2025'!F120*'PREVISTO 2026 REVISADO (2)'!$U$86</f>
        <v>2170.7262499999997</v>
      </c>
      <c r="I96" s="3">
        <f>'REALIZADO 2025'!G120*'PREVISTO 2026 REVISADO (2)'!$U$86</f>
        <v>2910.8370499999996</v>
      </c>
      <c r="J96" s="3">
        <f>'REALIZADO 2025'!H120*'PREVISTO 2026 REVISADO (2)'!$U$86</f>
        <v>2188.1673000000001</v>
      </c>
      <c r="K96" s="3">
        <f>'REALIZADO 2025'!I120*'PREVISTO 2026 REVISADO (2)'!$U$86</f>
        <v>1592.8099</v>
      </c>
      <c r="L96" s="3">
        <f>'REALIZADO 2025'!J120*'PREVISTO 2026 REVISADO (2)'!$U$86</f>
        <v>1730.23785</v>
      </c>
      <c r="M96" s="3">
        <f>'REALIZADO 2025'!K120*'PREVISTO 2026 REVISADO (2)'!$U$86</f>
        <v>1249.6632499999998</v>
      </c>
      <c r="N96" s="3">
        <f>'REALIZADO 2025'!L120*'PREVISTO 2026 REVISADO (2)'!$U$86</f>
        <v>1607.1263999999999</v>
      </c>
      <c r="O96" s="3">
        <f>'REALIZADO 2025'!M120*'PREVISTO 2026 REVISADO (2)'!$U$86</f>
        <v>1652.6674999999998</v>
      </c>
      <c r="P96" s="3">
        <f>'REALIZADO 2025'!N120*'PREVISTO 2026 REVISADO (2)'!$U$86</f>
        <v>2478.6459499999996</v>
      </c>
      <c r="Q96" s="3">
        <f>'REALIZADO 2025'!O120*'PREVISTO 2026 REVISADO (2)'!$U$86</f>
        <v>2191.3022999999998</v>
      </c>
      <c r="R96" s="4">
        <f t="shared" ref="R96" si="15">SUM(F96:Q96)</f>
        <v>24092.621299999995</v>
      </c>
      <c r="S96" s="25">
        <f>R96/12</f>
        <v>2007.7184416666662</v>
      </c>
      <c r="T96" s="5"/>
    </row>
    <row r="97" spans="3:20" ht="12">
      <c r="C97" s="69" t="s">
        <v>102</v>
      </c>
      <c r="D97" s="69"/>
      <c r="E97" s="69"/>
      <c r="F97" s="3">
        <f>'REALIZADO 2025'!D110*'PREVISTO 2026 REVISADO (2)'!$U$86</f>
        <v>1863.7366</v>
      </c>
      <c r="G97" s="3">
        <f>'REALIZADO 2025'!E110*'PREVISTO 2026 REVISADO (2)'!$U$86</f>
        <v>1517.8625</v>
      </c>
      <c r="H97" s="3">
        <f>'REALIZADO 2025'!F110*'PREVISTO 2026 REVISADO (2)'!$U$86</f>
        <v>2064.8155000000002</v>
      </c>
      <c r="I97" s="3">
        <f>'REALIZADO 2025'!G110*'PREVISTO 2026 REVISADO (2)'!$U$86</f>
        <v>2181.1239999999998</v>
      </c>
      <c r="J97" s="3">
        <f>'REALIZADO 2025'!H110*'PREVISTO 2026 REVISADO (2)'!$U$86</f>
        <v>1091.8264499999998</v>
      </c>
      <c r="K97" s="3">
        <f>'REALIZADO 2025'!I110*'PREVISTO 2026 REVISADO (2)'!$U$86</f>
        <v>2025.4085499999999</v>
      </c>
      <c r="L97" s="3">
        <f>'REALIZADO 2025'!J110*'PREVISTO 2026 REVISADO (2)'!$U$86</f>
        <v>5704.5504999999994</v>
      </c>
      <c r="M97" s="3">
        <f>'REALIZADO 2025'!K110*'PREVISTO 2026 REVISADO (2)'!$U$86</f>
        <v>2946.6909999999998</v>
      </c>
      <c r="N97" s="3">
        <f>'REALIZADO 2025'!L110*'PREVISTO 2026 REVISADO (2)'!$U$86</f>
        <v>0</v>
      </c>
      <c r="O97" s="3">
        <f>'REALIZADO 2025'!M110*'PREVISTO 2026 REVISADO (2)'!$U$86</f>
        <v>3531.4938999999999</v>
      </c>
      <c r="P97" s="3">
        <f>'REALIZADO 2025'!N110*'PREVISTO 2026 REVISADO (2)'!$U$86</f>
        <v>2828.6791499999995</v>
      </c>
      <c r="Q97" s="3">
        <f>'REALIZADO 2025'!O110*'PREVISTO 2026 REVISADO (2)'!$U$86</f>
        <v>1340.7349999999999</v>
      </c>
      <c r="R97" s="4">
        <v>24000</v>
      </c>
      <c r="S97" s="25">
        <f>R97/12</f>
        <v>2000</v>
      </c>
      <c r="T97" s="5"/>
    </row>
    <row r="98" spans="3:20" ht="12">
      <c r="C98" s="69" t="s">
        <v>103</v>
      </c>
      <c r="D98" s="69"/>
      <c r="E98" s="69"/>
      <c r="F98" s="3">
        <f>'REALIZADO 2025'!D111*'PREVISTO 2026 REVISADO (2)'!$U$86</f>
        <v>0</v>
      </c>
      <c r="G98" s="3">
        <f>'REALIZADO 2025'!E111*'PREVISTO 2026 REVISADO (2)'!$U$86</f>
        <v>0</v>
      </c>
      <c r="H98" s="3">
        <f>'REALIZADO 2025'!F111*'PREVISTO 2026 REVISADO (2)'!$U$86</f>
        <v>276.19349999999997</v>
      </c>
      <c r="I98" s="3">
        <f>'REALIZADO 2025'!G111*'PREVISTO 2026 REVISADO (2)'!$U$86</f>
        <v>64.319749999999999</v>
      </c>
      <c r="J98" s="3">
        <f>'REALIZADO 2025'!H111*'PREVISTO 2026 REVISADO (2)'!$U$86</f>
        <v>0</v>
      </c>
      <c r="K98" s="3">
        <f>'REALIZADO 2025'!I111*'PREVISTO 2026 REVISADO (2)'!$U$86</f>
        <v>1661.55</v>
      </c>
      <c r="L98" s="3">
        <f>'REALIZADO 2025'!J111*'PREVISTO 2026 REVISADO (2)'!$U$86</f>
        <v>852.71999999999991</v>
      </c>
      <c r="M98" s="3">
        <f>'REALIZADO 2025'!K111*'PREVISTO 2026 REVISADO (2)'!$U$86</f>
        <v>2309.4499999999998</v>
      </c>
      <c r="N98" s="3">
        <f>'REALIZADO 2025'!L111*'PREVISTO 2026 REVISADO (2)'!$U$86</f>
        <v>1546.6</v>
      </c>
      <c r="O98" s="3">
        <f>'REALIZADO 2025'!M111*'PREVISTO 2026 REVISADO (2)'!$U$86</f>
        <v>129.39189999999999</v>
      </c>
      <c r="P98" s="3">
        <f>'REALIZADO 2025'!N111*'PREVISTO 2026 REVISADO (2)'!$U$86</f>
        <v>1546.6</v>
      </c>
      <c r="Q98" s="3">
        <f>'REALIZADO 2025'!O111*'PREVISTO 2026 REVISADO (2)'!$U$86</f>
        <v>0</v>
      </c>
      <c r="R98" s="4">
        <f>SUM(F98:Q98)</f>
        <v>8386.8251499999988</v>
      </c>
      <c r="S98" s="25">
        <f>R98/12</f>
        <v>698.90209583333319</v>
      </c>
      <c r="T98" s="5"/>
    </row>
    <row r="99" spans="3:20" ht="12">
      <c r="C99" s="69" t="s">
        <v>104</v>
      </c>
      <c r="D99" s="69"/>
      <c r="E99" s="69"/>
      <c r="F99" s="3">
        <f>'REALIZADO 2025'!D112*'PREVISTO 2026 REVISADO (2)'!$U$86</f>
        <v>169.6035</v>
      </c>
      <c r="G99" s="3">
        <f>'REALIZADO 2025'!E112*'PREVISTO 2026 REVISADO (2)'!$U$86</f>
        <v>366.32474999999999</v>
      </c>
      <c r="H99" s="3">
        <f>'REALIZADO 2025'!F112*'PREVISTO 2026 REVISADO (2)'!$U$86</f>
        <v>196.72125</v>
      </c>
      <c r="I99" s="3">
        <f>'REALIZADO 2025'!G112*'PREVISTO 2026 REVISADO (2)'!$U$86</f>
        <v>169.6035</v>
      </c>
      <c r="J99" s="3">
        <f>'REALIZADO 2025'!H112*'PREVISTO 2026 REVISADO (2)'!$U$86</f>
        <v>169.6035</v>
      </c>
      <c r="K99" s="3">
        <f>'REALIZADO 2025'!I112*'PREVISTO 2026 REVISADO (2)'!$U$86</f>
        <v>0</v>
      </c>
      <c r="L99" s="3">
        <f>'REALIZADO 2025'!J112*'PREVISTO 2026 REVISADO (2)'!$U$86</f>
        <v>0</v>
      </c>
      <c r="M99" s="3">
        <f>'REALIZADO 2025'!K112*'PREVISTO 2026 REVISADO (2)'!$U$86</f>
        <v>182.56149999999997</v>
      </c>
      <c r="N99" s="3">
        <f>'REALIZADO 2025'!L112*'PREVISTO 2026 REVISADO (2)'!$U$86</f>
        <v>196.251</v>
      </c>
      <c r="O99" s="3">
        <f>'REALIZADO 2025'!M112*'PREVISTO 2026 REVISADO (2)'!$U$86</f>
        <v>0</v>
      </c>
      <c r="P99" s="3">
        <f>'REALIZADO 2025'!N112*'PREVISTO 2026 REVISADO (2)'!$U$86</f>
        <v>0</v>
      </c>
      <c r="Q99" s="3">
        <f>'REALIZADO 2025'!O112*'PREVISTO 2026 REVISADO (2)'!$U$86</f>
        <v>0</v>
      </c>
      <c r="R99" s="4">
        <f>SUM(F99:Q99)</f>
        <v>1450.6689999999999</v>
      </c>
      <c r="S99" s="25">
        <f>R99/12</f>
        <v>120.88908333333332</v>
      </c>
      <c r="T99" s="5"/>
    </row>
    <row r="101" spans="3:20" ht="12">
      <c r="C101" s="70" t="s">
        <v>113</v>
      </c>
      <c r="D101" s="70"/>
      <c r="E101" s="70"/>
      <c r="F101" s="60" t="e">
        <f>F4</f>
        <v>#REF!</v>
      </c>
      <c r="G101" s="60" t="e">
        <f t="shared" ref="G101:Q101" si="16">G4</f>
        <v>#REF!</v>
      </c>
      <c r="H101" s="60" t="e">
        <f t="shared" si="16"/>
        <v>#REF!</v>
      </c>
      <c r="I101" s="60" t="e">
        <f t="shared" si="16"/>
        <v>#REF!</v>
      </c>
      <c r="J101" s="60" t="e">
        <f t="shared" si="16"/>
        <v>#REF!</v>
      </c>
      <c r="K101" s="60" t="e">
        <f t="shared" si="16"/>
        <v>#REF!</v>
      </c>
      <c r="L101" s="60" t="e">
        <f t="shared" si="16"/>
        <v>#REF!</v>
      </c>
      <c r="M101" s="60" t="e">
        <f t="shared" si="16"/>
        <v>#REF!</v>
      </c>
      <c r="N101" s="60" t="e">
        <f t="shared" si="16"/>
        <v>#REF!</v>
      </c>
      <c r="O101" s="60" t="e">
        <f t="shared" si="16"/>
        <v>#REF!</v>
      </c>
      <c r="P101" s="60" t="e">
        <f t="shared" si="16"/>
        <v>#REF!</v>
      </c>
      <c r="Q101" s="60" t="e">
        <f t="shared" si="16"/>
        <v>#REF!</v>
      </c>
      <c r="R101" s="61">
        <f>R86+R78+R38+R22+R5</f>
        <v>3409357.7379999999</v>
      </c>
      <c r="S101" s="61">
        <f>R101/12</f>
        <v>284113.14483333332</v>
      </c>
      <c r="T101" s="62"/>
    </row>
    <row r="102" spans="3:20" ht="12"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32"/>
    </row>
    <row r="103" spans="3:20" ht="14.4">
      <c r="C103" s="71" t="s">
        <v>114</v>
      </c>
      <c r="D103" s="71"/>
      <c r="E103" s="64">
        <v>270297.34000000003</v>
      </c>
    </row>
    <row r="104" spans="3:20" ht="14.4">
      <c r="C104" s="72" t="s">
        <v>115</v>
      </c>
      <c r="D104" s="72"/>
      <c r="E104" s="65">
        <f>S101</f>
        <v>284113.14483333332</v>
      </c>
      <c r="F104" s="59"/>
    </row>
    <row r="105" spans="3:20" ht="14.4">
      <c r="C105" s="73" t="s">
        <v>116</v>
      </c>
      <c r="D105" s="73"/>
      <c r="E105" s="66">
        <f>E104-E103</f>
        <v>13815.804833333299</v>
      </c>
      <c r="F105" s="59"/>
    </row>
    <row r="106" spans="3:20" ht="14.4">
      <c r="C106" s="68" t="s">
        <v>117</v>
      </c>
      <c r="D106" s="68"/>
      <c r="E106" s="67">
        <f>E105/E103</f>
        <v>5.1113358471575408E-2</v>
      </c>
      <c r="F106" s="59"/>
    </row>
    <row r="107" spans="3:20" ht="12">
      <c r="C107" s="59"/>
      <c r="D107" s="59"/>
      <c r="E107" s="59"/>
    </row>
    <row r="108" spans="3:20" ht="12"/>
    <row r="109" spans="3:20" ht="12"/>
    <row r="110" spans="3:20" ht="12"/>
    <row r="111" spans="3:20" ht="12"/>
    <row r="112" spans="3:20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  <row r="126" ht="12"/>
    <row r="127" ht="12"/>
    <row r="128" ht="12"/>
    <row r="129" ht="12"/>
    <row r="130" ht="12"/>
    <row r="131" ht="12"/>
    <row r="132" ht="12"/>
    <row r="133" ht="12"/>
    <row r="134" ht="12"/>
    <row r="135" ht="12"/>
    <row r="136" ht="12"/>
    <row r="137" ht="12"/>
  </sheetData>
  <mergeCells count="103">
    <mergeCell ref="C1:S1"/>
    <mergeCell ref="C2:S2"/>
    <mergeCell ref="C3:E3"/>
    <mergeCell ref="C4:E4"/>
    <mergeCell ref="C5:E5"/>
    <mergeCell ref="C6:E6"/>
    <mergeCell ref="C13:E13"/>
    <mergeCell ref="C14:E14"/>
    <mergeCell ref="C15:E15"/>
    <mergeCell ref="C16:E16"/>
    <mergeCell ref="C17:E17"/>
    <mergeCell ref="C18:E18"/>
    <mergeCell ref="C7:E7"/>
    <mergeCell ref="C8:E8"/>
    <mergeCell ref="C9:E9"/>
    <mergeCell ref="C10:E10"/>
    <mergeCell ref="C11:E11"/>
    <mergeCell ref="C12:E12"/>
    <mergeCell ref="C25:E25"/>
    <mergeCell ref="C26:E26"/>
    <mergeCell ref="C27:E27"/>
    <mergeCell ref="C28:E28"/>
    <mergeCell ref="C29:E29"/>
    <mergeCell ref="C30:E30"/>
    <mergeCell ref="C19:E19"/>
    <mergeCell ref="C20:E20"/>
    <mergeCell ref="C21:E21"/>
    <mergeCell ref="C22:E22"/>
    <mergeCell ref="C23:E23"/>
    <mergeCell ref="C24:E24"/>
    <mergeCell ref="C37:E37"/>
    <mergeCell ref="C38:E38"/>
    <mergeCell ref="C39:E39"/>
    <mergeCell ref="C40:E40"/>
    <mergeCell ref="C41:E41"/>
    <mergeCell ref="C42:E42"/>
    <mergeCell ref="C31:E31"/>
    <mergeCell ref="C32:E32"/>
    <mergeCell ref="C33:E33"/>
    <mergeCell ref="C34:E34"/>
    <mergeCell ref="C35:E35"/>
    <mergeCell ref="C36:E36"/>
    <mergeCell ref="C49:E49"/>
    <mergeCell ref="C50:E50"/>
    <mergeCell ref="C51:E51"/>
    <mergeCell ref="C52:E52"/>
    <mergeCell ref="C53:E53"/>
    <mergeCell ref="C54:E54"/>
    <mergeCell ref="C43:E43"/>
    <mergeCell ref="C44:E44"/>
    <mergeCell ref="C45:E45"/>
    <mergeCell ref="C46:E46"/>
    <mergeCell ref="C47:E47"/>
    <mergeCell ref="C48:E48"/>
    <mergeCell ref="C61:E61"/>
    <mergeCell ref="C62:E62"/>
    <mergeCell ref="C63:E63"/>
    <mergeCell ref="C64:E64"/>
    <mergeCell ref="C65:E65"/>
    <mergeCell ref="C66:E66"/>
    <mergeCell ref="C55:E55"/>
    <mergeCell ref="C56:E56"/>
    <mergeCell ref="C57:E57"/>
    <mergeCell ref="C58:E58"/>
    <mergeCell ref="C59:E59"/>
    <mergeCell ref="C60:E60"/>
    <mergeCell ref="C73:E73"/>
    <mergeCell ref="C74:E74"/>
    <mergeCell ref="C75:E75"/>
    <mergeCell ref="C76:E76"/>
    <mergeCell ref="C77:E77"/>
    <mergeCell ref="C78:E78"/>
    <mergeCell ref="C67:E67"/>
    <mergeCell ref="C68:E68"/>
    <mergeCell ref="C69:E69"/>
    <mergeCell ref="C70:E70"/>
    <mergeCell ref="C71:E71"/>
    <mergeCell ref="C72:E72"/>
    <mergeCell ref="C85:E85"/>
    <mergeCell ref="C86:E86"/>
    <mergeCell ref="C87:E87"/>
    <mergeCell ref="C97:E97"/>
    <mergeCell ref="C98:E98"/>
    <mergeCell ref="C99:E99"/>
    <mergeCell ref="C79:E79"/>
    <mergeCell ref="C80:E80"/>
    <mergeCell ref="C81:E81"/>
    <mergeCell ref="C82:E82"/>
    <mergeCell ref="C83:E83"/>
    <mergeCell ref="C84:E84"/>
    <mergeCell ref="C106:D106"/>
    <mergeCell ref="C95:E95"/>
    <mergeCell ref="C96:E96"/>
    <mergeCell ref="C101:E101"/>
    <mergeCell ref="C103:D103"/>
    <mergeCell ref="C104:D104"/>
    <mergeCell ref="C105:D105"/>
    <mergeCell ref="C88:E88"/>
    <mergeCell ref="C89:E89"/>
    <mergeCell ref="C90:E90"/>
    <mergeCell ref="C92:E92"/>
    <mergeCell ref="C93:E93"/>
    <mergeCell ref="C94:E94"/>
  </mergeCells>
  <pageMargins left="0" right="0" top="0" bottom="0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AD09-CDDD-4DBD-9B9D-30D346E899F5}">
  <sheetPr>
    <outlinePr summaryBelow="0"/>
  </sheetPr>
  <dimension ref="A1:X183"/>
  <sheetViews>
    <sheetView workbookViewId="0">
      <pane ySplit="1" topLeftCell="A5" activePane="bottomLeft" state="frozen"/>
      <selection pane="bottomLeft" activeCell="P5" sqref="P5"/>
    </sheetView>
  </sheetViews>
  <sheetFormatPr defaultColWidth="9.109375" defaultRowHeight="15" customHeight="1"/>
  <cols>
    <col min="1" max="1" width="8.33203125" style="1" customWidth="1"/>
    <col min="2" max="2" width="13.109375" style="1" customWidth="1"/>
    <col min="3" max="3" width="24.88671875" style="1" customWidth="1"/>
    <col min="4" max="15" width="9.5546875" style="1" customWidth="1"/>
    <col min="16" max="16" width="14.33203125" style="1" customWidth="1"/>
    <col min="17" max="17" width="13.5546875" style="1" customWidth="1"/>
    <col min="18" max="18" width="8.109375" style="1" customWidth="1"/>
    <col min="19" max="19" width="9.109375" style="1"/>
    <col min="20" max="20" width="11.109375" style="1" bestFit="1" customWidth="1"/>
    <col min="21" max="21" width="10.33203125" style="1" bestFit="1" customWidth="1"/>
    <col min="22" max="16384" width="9.109375" style="1"/>
  </cols>
  <sheetData>
    <row r="1" spans="1:18" ht="12">
      <c r="A1" s="88" t="s">
        <v>118</v>
      </c>
      <c r="B1" s="88"/>
      <c r="C1" s="88"/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32"/>
    </row>
    <row r="2" spans="1:18" ht="12">
      <c r="A2" s="87" t="s">
        <v>119</v>
      </c>
      <c r="B2" s="87"/>
      <c r="C2" s="87"/>
      <c r="D2" s="33">
        <f>SUM(D3:D24)</f>
        <v>290185.64999999997</v>
      </c>
      <c r="E2" s="33">
        <f t="shared" ref="E2:O2" si="0">SUM(E3:E24)</f>
        <v>308732.3</v>
      </c>
      <c r="F2" s="33">
        <f t="shared" si="0"/>
        <v>313677.08</v>
      </c>
      <c r="G2" s="33">
        <f t="shared" si="0"/>
        <v>309911.83999999997</v>
      </c>
      <c r="H2" s="33">
        <f t="shared" si="0"/>
        <v>316572.55999999994</v>
      </c>
      <c r="I2" s="33">
        <f t="shared" si="0"/>
        <v>290740.15000000002</v>
      </c>
      <c r="J2" s="33">
        <f t="shared" si="0"/>
        <v>318477.93999999983</v>
      </c>
      <c r="K2" s="33">
        <f t="shared" si="0"/>
        <v>363077.67</v>
      </c>
      <c r="L2" s="33">
        <f t="shared" si="0"/>
        <v>360522.41999999993</v>
      </c>
      <c r="M2" s="33">
        <f t="shared" si="0"/>
        <v>361464.26000000007</v>
      </c>
      <c r="N2" s="33">
        <f t="shared" si="0"/>
        <v>321352.36000000004</v>
      </c>
      <c r="O2" s="33">
        <f t="shared" si="0"/>
        <v>341763.37999999995</v>
      </c>
      <c r="P2" s="34">
        <f t="shared" ref="P2:P25" si="1">SUM(D2:O2)</f>
        <v>3896477.61</v>
      </c>
      <c r="Q2" s="43">
        <f>P2/12</f>
        <v>324706.46749999997</v>
      </c>
      <c r="R2" s="32"/>
    </row>
    <row r="3" spans="1:18" ht="12">
      <c r="A3" s="85" t="s">
        <v>120</v>
      </c>
      <c r="B3" s="85"/>
      <c r="C3" s="85"/>
      <c r="D3" s="35">
        <v>239580.04</v>
      </c>
      <c r="E3" s="35">
        <v>253005.09</v>
      </c>
      <c r="F3" s="35">
        <v>265582.34999999998</v>
      </c>
      <c r="G3" s="35">
        <v>262254.65000000002</v>
      </c>
      <c r="H3" s="35">
        <v>263648.06</v>
      </c>
      <c r="I3" s="35">
        <v>255243.67</v>
      </c>
      <c r="J3" s="36">
        <v>276285.49</v>
      </c>
      <c r="K3" s="35">
        <v>278926.44</v>
      </c>
      <c r="L3" s="35">
        <v>289938.71999999997</v>
      </c>
      <c r="M3" s="35">
        <v>267854.46000000002</v>
      </c>
      <c r="N3" s="35">
        <v>263900.09000000003</v>
      </c>
      <c r="O3" s="36">
        <v>284892.08</v>
      </c>
      <c r="P3" s="37">
        <f t="shared" si="1"/>
        <v>3201111.1399999997</v>
      </c>
      <c r="Q3" s="44">
        <f>P3/12</f>
        <v>266759.26166666666</v>
      </c>
      <c r="R3" s="32"/>
    </row>
    <row r="4" spans="1:18" ht="12">
      <c r="A4" s="86" t="s">
        <v>121</v>
      </c>
      <c r="B4" s="86"/>
      <c r="C4" s="86"/>
      <c r="D4" s="38">
        <v>8221.9500000000007</v>
      </c>
      <c r="E4" s="38">
        <v>12462.57</v>
      </c>
      <c r="F4" s="38">
        <v>8020.57</v>
      </c>
      <c r="G4" s="38">
        <v>9758.01</v>
      </c>
      <c r="H4" s="38">
        <v>14865.92</v>
      </c>
      <c r="I4" s="38">
        <v>131.75</v>
      </c>
      <c r="J4" s="37">
        <v>1440.44</v>
      </c>
      <c r="K4" s="38">
        <v>750.81</v>
      </c>
      <c r="L4" s="38">
        <v>6352.3</v>
      </c>
      <c r="M4" s="38">
        <v>19987.080000000002</v>
      </c>
      <c r="N4" s="38">
        <v>6970.17</v>
      </c>
      <c r="O4" s="37">
        <v>4858.5600000000004</v>
      </c>
      <c r="P4" s="37">
        <f t="shared" si="1"/>
        <v>93820.12999999999</v>
      </c>
      <c r="Q4" s="44">
        <f t="shared" ref="Q4:Q65" si="2">P4/12</f>
        <v>7818.3441666666658</v>
      </c>
      <c r="R4" s="32"/>
    </row>
    <row r="5" spans="1:18" ht="12">
      <c r="A5" s="85" t="s">
        <v>122</v>
      </c>
      <c r="B5" s="85"/>
      <c r="C5" s="85"/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6">
        <v>0</v>
      </c>
      <c r="K5" s="35">
        <v>1379.6</v>
      </c>
      <c r="L5" s="35">
        <v>2950.48</v>
      </c>
      <c r="M5" s="35">
        <v>1379.6</v>
      </c>
      <c r="N5" s="35">
        <v>0</v>
      </c>
      <c r="O5" s="36">
        <v>0</v>
      </c>
      <c r="P5" s="37">
        <f t="shared" si="1"/>
        <v>5709.68</v>
      </c>
      <c r="Q5" s="44">
        <f t="shared" si="2"/>
        <v>475.80666666666667</v>
      </c>
      <c r="R5" s="32"/>
    </row>
    <row r="6" spans="1:18" ht="12">
      <c r="A6" s="86" t="s">
        <v>123</v>
      </c>
      <c r="B6" s="86"/>
      <c r="C6" s="86"/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7">
        <v>1458.91</v>
      </c>
      <c r="K6" s="38">
        <v>0</v>
      </c>
      <c r="L6" s="38">
        <v>3358.15</v>
      </c>
      <c r="M6" s="38">
        <v>0</v>
      </c>
      <c r="N6" s="38">
        <v>0</v>
      </c>
      <c r="O6" s="37">
        <v>686.92</v>
      </c>
      <c r="P6" s="37">
        <f t="shared" si="1"/>
        <v>5503.9800000000005</v>
      </c>
      <c r="Q6" s="44">
        <f t="shared" si="2"/>
        <v>458.66500000000002</v>
      </c>
      <c r="R6" s="32"/>
    </row>
    <row r="7" spans="1:18" ht="12">
      <c r="A7" s="85" t="s">
        <v>124</v>
      </c>
      <c r="B7" s="85"/>
      <c r="C7" s="85"/>
      <c r="D7" s="35">
        <v>0</v>
      </c>
      <c r="E7" s="35">
        <v>0</v>
      </c>
      <c r="F7" s="35">
        <v>0</v>
      </c>
      <c r="G7" s="35">
        <v>0</v>
      </c>
      <c r="H7" s="35">
        <v>-10.85</v>
      </c>
      <c r="I7" s="35">
        <v>0</v>
      </c>
      <c r="J7" s="36">
        <v>10.85</v>
      </c>
      <c r="K7" s="35">
        <v>0</v>
      </c>
      <c r="L7" s="35">
        <v>0</v>
      </c>
      <c r="M7" s="35">
        <v>0</v>
      </c>
      <c r="N7" s="35">
        <v>0</v>
      </c>
      <c r="O7" s="36">
        <v>0</v>
      </c>
      <c r="P7" s="37">
        <f t="shared" si="1"/>
        <v>0</v>
      </c>
      <c r="Q7" s="44">
        <f t="shared" si="2"/>
        <v>0</v>
      </c>
      <c r="R7" s="32"/>
    </row>
    <row r="8" spans="1:18" ht="12">
      <c r="A8" s="86" t="s">
        <v>125</v>
      </c>
      <c r="B8" s="86"/>
      <c r="C8" s="86"/>
      <c r="D8" s="38">
        <v>525</v>
      </c>
      <c r="E8" s="38">
        <v>1050</v>
      </c>
      <c r="F8" s="38">
        <v>0</v>
      </c>
      <c r="G8" s="38">
        <v>1050</v>
      </c>
      <c r="H8" s="38">
        <v>1050</v>
      </c>
      <c r="I8" s="38">
        <v>0</v>
      </c>
      <c r="J8" s="37">
        <v>0</v>
      </c>
      <c r="K8" s="38">
        <v>1050</v>
      </c>
      <c r="L8" s="38">
        <v>525</v>
      </c>
      <c r="M8" s="38">
        <v>0</v>
      </c>
      <c r="N8" s="38">
        <v>0</v>
      </c>
      <c r="O8" s="37">
        <v>0</v>
      </c>
      <c r="P8" s="37">
        <f t="shared" si="1"/>
        <v>5250</v>
      </c>
      <c r="Q8" s="44">
        <f t="shared" si="2"/>
        <v>437.5</v>
      </c>
      <c r="R8" s="32"/>
    </row>
    <row r="9" spans="1:18" ht="12">
      <c r="A9" s="85" t="s">
        <v>126</v>
      </c>
      <c r="B9" s="85"/>
      <c r="C9" s="85"/>
      <c r="D9" s="35">
        <v>1260</v>
      </c>
      <c r="E9" s="35">
        <v>1260</v>
      </c>
      <c r="F9" s="35">
        <v>3150</v>
      </c>
      <c r="G9" s="35">
        <v>1680</v>
      </c>
      <c r="H9" s="35">
        <v>1470</v>
      </c>
      <c r="I9" s="35">
        <v>1680</v>
      </c>
      <c r="J9" s="36">
        <v>420</v>
      </c>
      <c r="K9" s="35">
        <v>1680</v>
      </c>
      <c r="L9" s="35">
        <v>1218</v>
      </c>
      <c r="M9" s="35">
        <v>1890</v>
      </c>
      <c r="N9" s="35">
        <v>1470</v>
      </c>
      <c r="O9" s="36">
        <v>882</v>
      </c>
      <c r="P9" s="37">
        <f t="shared" si="1"/>
        <v>18060</v>
      </c>
      <c r="Q9" s="44">
        <f t="shared" si="2"/>
        <v>1505</v>
      </c>
      <c r="R9" s="32"/>
    </row>
    <row r="10" spans="1:18" ht="12">
      <c r="A10" s="86" t="s">
        <v>127</v>
      </c>
      <c r="B10" s="86"/>
      <c r="C10" s="86"/>
      <c r="D10" s="38">
        <v>1706.95</v>
      </c>
      <c r="E10" s="38">
        <v>2126.9499999999998</v>
      </c>
      <c r="F10" s="38">
        <v>0</v>
      </c>
      <c r="G10" s="38">
        <v>1916.95</v>
      </c>
      <c r="H10" s="38">
        <v>1496.95</v>
      </c>
      <c r="I10" s="38">
        <v>1050</v>
      </c>
      <c r="J10" s="37">
        <v>1890</v>
      </c>
      <c r="K10" s="38">
        <v>1050</v>
      </c>
      <c r="L10" s="38">
        <v>1680</v>
      </c>
      <c r="M10" s="38">
        <v>2520</v>
      </c>
      <c r="N10" s="38">
        <v>1470</v>
      </c>
      <c r="O10" s="37">
        <v>1470</v>
      </c>
      <c r="P10" s="37">
        <f t="shared" si="1"/>
        <v>18377.8</v>
      </c>
      <c r="Q10" s="44">
        <f t="shared" si="2"/>
        <v>1531.4833333333333</v>
      </c>
      <c r="R10" s="32"/>
    </row>
    <row r="11" spans="1:18" ht="12">
      <c r="A11" s="85" t="s">
        <v>128</v>
      </c>
      <c r="B11" s="85"/>
      <c r="C11" s="85"/>
      <c r="D11" s="35">
        <v>23926.35</v>
      </c>
      <c r="E11" s="35">
        <v>25269.43</v>
      </c>
      <c r="F11" s="35">
        <v>26519.07</v>
      </c>
      <c r="G11" s="35">
        <v>26186.3</v>
      </c>
      <c r="H11" s="35">
        <v>26325.65</v>
      </c>
      <c r="I11" s="35">
        <v>25485.200000000001</v>
      </c>
      <c r="J11" s="36">
        <v>27589.360000000001</v>
      </c>
      <c r="K11" s="35">
        <v>27853.49</v>
      </c>
      <c r="L11" s="35">
        <v>28954.69</v>
      </c>
      <c r="M11" s="35">
        <v>26746.27</v>
      </c>
      <c r="N11" s="35">
        <v>26277.64</v>
      </c>
      <c r="O11" s="36">
        <v>28063.87</v>
      </c>
      <c r="P11" s="37">
        <f t="shared" si="1"/>
        <v>319197.32000000007</v>
      </c>
      <c r="Q11" s="44">
        <f t="shared" si="2"/>
        <v>26599.776666666672</v>
      </c>
      <c r="R11" s="32"/>
    </row>
    <row r="12" spans="1:18" ht="12">
      <c r="A12" s="86" t="s">
        <v>129</v>
      </c>
      <c r="B12" s="86"/>
      <c r="C12" s="86"/>
      <c r="D12" s="38">
        <v>150</v>
      </c>
      <c r="E12" s="38">
        <v>250</v>
      </c>
      <c r="F12" s="38">
        <v>150</v>
      </c>
      <c r="G12" s="38">
        <v>450</v>
      </c>
      <c r="H12" s="38">
        <v>200</v>
      </c>
      <c r="I12" s="38">
        <v>250</v>
      </c>
      <c r="J12" s="37">
        <v>200</v>
      </c>
      <c r="K12" s="38">
        <v>100</v>
      </c>
      <c r="L12" s="38">
        <v>100</v>
      </c>
      <c r="M12" s="38">
        <v>300</v>
      </c>
      <c r="N12" s="38">
        <v>150</v>
      </c>
      <c r="O12" s="37">
        <v>0</v>
      </c>
      <c r="P12" s="37">
        <f t="shared" si="1"/>
        <v>2300</v>
      </c>
      <c r="Q12" s="44">
        <f t="shared" si="2"/>
        <v>191.66666666666666</v>
      </c>
      <c r="R12" s="32"/>
    </row>
    <row r="13" spans="1:18" ht="12">
      <c r="A13" s="85" t="s">
        <v>130</v>
      </c>
      <c r="B13" s="85"/>
      <c r="C13" s="85"/>
      <c r="D13" s="35">
        <v>0</v>
      </c>
      <c r="E13" s="35">
        <v>0</v>
      </c>
      <c r="F13" s="35">
        <v>1800</v>
      </c>
      <c r="G13" s="35">
        <v>0</v>
      </c>
      <c r="H13" s="35">
        <v>800</v>
      </c>
      <c r="I13" s="35">
        <v>1700</v>
      </c>
      <c r="J13" s="36">
        <v>1900</v>
      </c>
      <c r="K13" s="35">
        <v>1800</v>
      </c>
      <c r="L13" s="35">
        <v>1400</v>
      </c>
      <c r="M13" s="35">
        <v>1400</v>
      </c>
      <c r="N13" s="35">
        <v>1200</v>
      </c>
      <c r="O13" s="36">
        <v>1200</v>
      </c>
      <c r="P13" s="37">
        <f t="shared" si="1"/>
        <v>13200</v>
      </c>
      <c r="Q13" s="44">
        <f t="shared" si="2"/>
        <v>1100</v>
      </c>
      <c r="R13" s="32"/>
    </row>
    <row r="14" spans="1:18" ht="12">
      <c r="A14" s="86" t="s">
        <v>131</v>
      </c>
      <c r="B14" s="86"/>
      <c r="C14" s="86"/>
      <c r="D14" s="38">
        <v>317.67</v>
      </c>
      <c r="E14" s="38">
        <v>447.46</v>
      </c>
      <c r="F14" s="38">
        <v>419.33</v>
      </c>
      <c r="G14" s="38">
        <v>489.74</v>
      </c>
      <c r="H14" s="38">
        <v>439.72</v>
      </c>
      <c r="I14" s="38">
        <v>21.99</v>
      </c>
      <c r="J14" s="37">
        <v>111.24</v>
      </c>
      <c r="K14" s="38">
        <v>631.29</v>
      </c>
      <c r="L14" s="38">
        <v>196.05</v>
      </c>
      <c r="M14" s="38">
        <v>326.5</v>
      </c>
      <c r="N14" s="38">
        <v>57.39</v>
      </c>
      <c r="O14" s="37">
        <v>0</v>
      </c>
      <c r="P14" s="37">
        <f t="shared" si="1"/>
        <v>3458.3799999999997</v>
      </c>
      <c r="Q14" s="44">
        <f t="shared" si="2"/>
        <v>288.19833333333332</v>
      </c>
      <c r="R14" s="32"/>
    </row>
    <row r="15" spans="1:18" ht="12">
      <c r="A15" s="85" t="s">
        <v>132</v>
      </c>
      <c r="B15" s="85"/>
      <c r="C15" s="85"/>
      <c r="D15" s="35">
        <v>1730</v>
      </c>
      <c r="E15" s="35">
        <v>2350</v>
      </c>
      <c r="F15" s="35">
        <v>2300</v>
      </c>
      <c r="G15" s="35">
        <v>2400</v>
      </c>
      <c r="H15" s="35">
        <v>2300</v>
      </c>
      <c r="I15" s="35">
        <v>2250</v>
      </c>
      <c r="J15" s="36">
        <v>2350</v>
      </c>
      <c r="K15" s="35">
        <v>2400</v>
      </c>
      <c r="L15" s="35">
        <v>2925</v>
      </c>
      <c r="M15" s="35">
        <v>2400</v>
      </c>
      <c r="N15" s="35">
        <v>2312.5700000000002</v>
      </c>
      <c r="O15" s="36">
        <v>1603.44</v>
      </c>
      <c r="P15" s="37">
        <f t="shared" si="1"/>
        <v>27321.01</v>
      </c>
      <c r="Q15" s="44">
        <f t="shared" si="2"/>
        <v>2276.750833333333</v>
      </c>
      <c r="R15" s="32"/>
    </row>
    <row r="16" spans="1:18" ht="12">
      <c r="A16" s="86" t="s">
        <v>133</v>
      </c>
      <c r="B16" s="86"/>
      <c r="C16" s="86"/>
      <c r="D16" s="38">
        <v>8050.48</v>
      </c>
      <c r="E16" s="38">
        <v>400.48</v>
      </c>
      <c r="F16" s="38">
        <v>650</v>
      </c>
      <c r="G16" s="38">
        <v>61.73</v>
      </c>
      <c r="H16" s="38">
        <v>760.48</v>
      </c>
      <c r="I16" s="38">
        <v>0</v>
      </c>
      <c r="J16" s="37">
        <v>0</v>
      </c>
      <c r="K16" s="38">
        <v>320</v>
      </c>
      <c r="L16" s="38">
        <v>115.13</v>
      </c>
      <c r="M16" s="38">
        <v>400</v>
      </c>
      <c r="N16" s="38">
        <v>0</v>
      </c>
      <c r="O16" s="37">
        <v>12.95</v>
      </c>
      <c r="P16" s="37">
        <f t="shared" si="1"/>
        <v>10771.249999999998</v>
      </c>
      <c r="Q16" s="44">
        <f t="shared" si="2"/>
        <v>897.60416666666652</v>
      </c>
      <c r="R16" s="32"/>
    </row>
    <row r="17" spans="1:20" ht="12">
      <c r="A17" s="85" t="s">
        <v>134</v>
      </c>
      <c r="B17" s="85"/>
      <c r="C17" s="85"/>
      <c r="D17" s="35">
        <v>50.02</v>
      </c>
      <c r="E17" s="35">
        <v>50.02</v>
      </c>
      <c r="F17" s="35">
        <v>0</v>
      </c>
      <c r="G17" s="35">
        <v>50.02</v>
      </c>
      <c r="H17" s="35">
        <v>50.02</v>
      </c>
      <c r="I17" s="35">
        <v>0</v>
      </c>
      <c r="J17" s="36">
        <v>0</v>
      </c>
      <c r="K17" s="35">
        <v>0</v>
      </c>
      <c r="L17" s="35">
        <v>696.5</v>
      </c>
      <c r="M17" s="35">
        <v>0</v>
      </c>
      <c r="N17" s="35">
        <v>0</v>
      </c>
      <c r="O17" s="36">
        <v>0</v>
      </c>
      <c r="P17" s="37">
        <f t="shared" si="1"/>
        <v>896.58</v>
      </c>
      <c r="Q17" s="44">
        <f t="shared" si="2"/>
        <v>74.715000000000003</v>
      </c>
      <c r="R17" s="32"/>
    </row>
    <row r="18" spans="1:20" ht="12">
      <c r="A18" s="86" t="s">
        <v>135</v>
      </c>
      <c r="B18" s="86"/>
      <c r="C18" s="86"/>
      <c r="D18" s="38">
        <v>500</v>
      </c>
      <c r="E18" s="38">
        <v>6500</v>
      </c>
      <c r="F18" s="38">
        <v>400</v>
      </c>
      <c r="G18" s="38">
        <v>0</v>
      </c>
      <c r="H18" s="38">
        <v>0</v>
      </c>
      <c r="I18" s="38">
        <v>0</v>
      </c>
      <c r="J18" s="37">
        <v>0</v>
      </c>
      <c r="K18" s="38">
        <v>0</v>
      </c>
      <c r="L18" s="38">
        <v>140</v>
      </c>
      <c r="M18" s="38">
        <v>4980</v>
      </c>
      <c r="N18" s="38">
        <v>0</v>
      </c>
      <c r="O18" s="37">
        <v>0</v>
      </c>
      <c r="P18" s="37">
        <f t="shared" si="1"/>
        <v>12520</v>
      </c>
      <c r="Q18" s="44">
        <f t="shared" si="2"/>
        <v>1043.3333333333333</v>
      </c>
      <c r="R18" s="32"/>
    </row>
    <row r="19" spans="1:20" ht="12">
      <c r="A19" s="85" t="s">
        <v>136</v>
      </c>
      <c r="B19" s="85"/>
      <c r="C19" s="85"/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6">
        <v>0</v>
      </c>
      <c r="K19" s="35">
        <v>41928</v>
      </c>
      <c r="L19" s="35">
        <v>13976</v>
      </c>
      <c r="M19" s="35">
        <v>27952</v>
      </c>
      <c r="N19" s="35">
        <v>13976</v>
      </c>
      <c r="O19" s="36">
        <v>13976</v>
      </c>
      <c r="P19" s="37">
        <f t="shared" si="1"/>
        <v>111808</v>
      </c>
      <c r="Q19" s="44">
        <f t="shared" si="2"/>
        <v>9317.3333333333339</v>
      </c>
      <c r="R19" s="32"/>
    </row>
    <row r="20" spans="1:20" ht="12">
      <c r="A20" s="86" t="s">
        <v>137</v>
      </c>
      <c r="B20" s="86"/>
      <c r="C20" s="86"/>
      <c r="D20" s="38">
        <v>2450.54</v>
      </c>
      <c r="E20" s="38">
        <v>1939.1</v>
      </c>
      <c r="F20" s="38">
        <v>2376.0500000000002</v>
      </c>
      <c r="G20" s="38">
        <v>2255.5100000000002</v>
      </c>
      <c r="H20" s="38">
        <v>2331.42</v>
      </c>
      <c r="I20" s="38">
        <v>2238.2600000000002</v>
      </c>
      <c r="J20" s="37">
        <v>2443.35</v>
      </c>
      <c r="K20" s="38">
        <v>2454.64</v>
      </c>
      <c r="L20" s="38">
        <v>2262.38</v>
      </c>
      <c r="M20" s="38">
        <v>2286.65</v>
      </c>
      <c r="N20" s="38">
        <v>2238.17</v>
      </c>
      <c r="O20" s="37">
        <v>1422.98</v>
      </c>
      <c r="P20" s="37">
        <f t="shared" si="1"/>
        <v>26699.050000000007</v>
      </c>
      <c r="Q20" s="44">
        <f t="shared" si="2"/>
        <v>2224.920833333334</v>
      </c>
      <c r="R20" s="32"/>
    </row>
    <row r="21" spans="1:20" ht="12">
      <c r="A21" s="85" t="s">
        <v>138</v>
      </c>
      <c r="B21" s="85"/>
      <c r="C21" s="85"/>
      <c r="D21" s="35">
        <v>754.13</v>
      </c>
      <c r="E21" s="35">
        <v>766.97</v>
      </c>
      <c r="F21" s="35">
        <v>1009.23</v>
      </c>
      <c r="G21" s="35">
        <v>427.17</v>
      </c>
      <c r="H21" s="35">
        <v>316.22000000000003</v>
      </c>
      <c r="I21" s="35">
        <v>129.4</v>
      </c>
      <c r="J21" s="36">
        <v>911.73</v>
      </c>
      <c r="K21" s="35">
        <v>201.66</v>
      </c>
      <c r="L21" s="35">
        <v>2027.81</v>
      </c>
      <c r="M21" s="35">
        <v>353.26</v>
      </c>
      <c r="N21" s="35">
        <v>260.10000000000002</v>
      </c>
      <c r="O21" s="36">
        <v>827.54</v>
      </c>
      <c r="P21" s="37">
        <f t="shared" si="1"/>
        <v>7985.22</v>
      </c>
      <c r="Q21" s="44">
        <f t="shared" si="2"/>
        <v>665.43500000000006</v>
      </c>
      <c r="R21" s="32"/>
    </row>
    <row r="22" spans="1:20" ht="12">
      <c r="A22" s="86" t="s">
        <v>139</v>
      </c>
      <c r="B22" s="86"/>
      <c r="C22" s="86"/>
      <c r="D22" s="38">
        <v>797.85</v>
      </c>
      <c r="E22" s="38">
        <v>643.14</v>
      </c>
      <c r="F22" s="38">
        <v>1047.27</v>
      </c>
      <c r="G22" s="38">
        <v>866.85</v>
      </c>
      <c r="H22" s="38">
        <v>453.43</v>
      </c>
      <c r="I22" s="38">
        <v>559.88</v>
      </c>
      <c r="J22" s="37">
        <v>1169.1600000000001</v>
      </c>
      <c r="K22" s="38">
        <v>527.78</v>
      </c>
      <c r="L22" s="38">
        <v>1017.79</v>
      </c>
      <c r="M22" s="38">
        <v>638.39</v>
      </c>
      <c r="N22" s="38">
        <v>708.7</v>
      </c>
      <c r="O22" s="37">
        <v>980.67</v>
      </c>
      <c r="P22" s="37">
        <f t="shared" si="1"/>
        <v>9410.91</v>
      </c>
      <c r="Q22" s="44">
        <f t="shared" si="2"/>
        <v>784.24249999999995</v>
      </c>
      <c r="R22" s="32"/>
    </row>
    <row r="23" spans="1:20" ht="12">
      <c r="A23" s="85" t="s">
        <v>140</v>
      </c>
      <c r="B23" s="85"/>
      <c r="C23" s="85"/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6">
        <v>0</v>
      </c>
      <c r="K23" s="35">
        <v>0</v>
      </c>
      <c r="L23" s="35">
        <v>0</v>
      </c>
      <c r="M23" s="35">
        <v>0</v>
      </c>
      <c r="N23" s="35">
        <v>361.53</v>
      </c>
      <c r="O23" s="36">
        <v>836.43</v>
      </c>
      <c r="P23" s="37">
        <f t="shared" si="1"/>
        <v>1197.96</v>
      </c>
      <c r="Q23" s="44">
        <f t="shared" si="2"/>
        <v>99.83</v>
      </c>
      <c r="R23" s="32"/>
    </row>
    <row r="24" spans="1:20" ht="12">
      <c r="A24" s="86" t="s">
        <v>141</v>
      </c>
      <c r="B24" s="86"/>
      <c r="C24" s="86"/>
      <c r="D24" s="38">
        <v>164.67</v>
      </c>
      <c r="E24" s="38">
        <v>211.09</v>
      </c>
      <c r="F24" s="38">
        <v>253.21</v>
      </c>
      <c r="G24" s="38">
        <v>64.91</v>
      </c>
      <c r="H24" s="38">
        <v>75.540000000000006</v>
      </c>
      <c r="I24" s="38">
        <v>0</v>
      </c>
      <c r="J24" s="37">
        <v>297.41000000000003</v>
      </c>
      <c r="K24" s="38">
        <v>23.96</v>
      </c>
      <c r="L24" s="38">
        <v>688.42</v>
      </c>
      <c r="M24" s="38">
        <v>50.05</v>
      </c>
      <c r="N24" s="38">
        <v>0</v>
      </c>
      <c r="O24" s="37">
        <v>49.94</v>
      </c>
      <c r="P24" s="37">
        <f t="shared" si="1"/>
        <v>1879.2</v>
      </c>
      <c r="Q24" s="44">
        <f t="shared" si="2"/>
        <v>156.6</v>
      </c>
      <c r="R24" s="32"/>
    </row>
    <row r="25" spans="1:20" ht="12">
      <c r="A25" s="90" t="s">
        <v>142</v>
      </c>
      <c r="B25" s="90"/>
      <c r="C25" s="90"/>
      <c r="D25" s="39">
        <f>D2</f>
        <v>290185.64999999997</v>
      </c>
      <c r="E25" s="39">
        <f t="shared" ref="E25:O25" si="3">E2</f>
        <v>308732.3</v>
      </c>
      <c r="F25" s="39">
        <f t="shared" si="3"/>
        <v>313677.08</v>
      </c>
      <c r="G25" s="39">
        <f t="shared" si="3"/>
        <v>309911.83999999997</v>
      </c>
      <c r="H25" s="39">
        <f t="shared" si="3"/>
        <v>316572.55999999994</v>
      </c>
      <c r="I25" s="39">
        <f t="shared" si="3"/>
        <v>290740.15000000002</v>
      </c>
      <c r="J25" s="39">
        <f t="shared" si="3"/>
        <v>318477.93999999983</v>
      </c>
      <c r="K25" s="39">
        <f t="shared" si="3"/>
        <v>363077.67</v>
      </c>
      <c r="L25" s="39">
        <f t="shared" si="3"/>
        <v>360522.41999999993</v>
      </c>
      <c r="M25" s="39">
        <f t="shared" si="3"/>
        <v>361464.26000000007</v>
      </c>
      <c r="N25" s="39">
        <f t="shared" si="3"/>
        <v>321352.36000000004</v>
      </c>
      <c r="O25" s="39">
        <f t="shared" si="3"/>
        <v>341763.37999999995</v>
      </c>
      <c r="P25" s="39">
        <f t="shared" si="1"/>
        <v>3896477.61</v>
      </c>
      <c r="Q25" s="45">
        <f t="shared" si="2"/>
        <v>324706.46749999997</v>
      </c>
      <c r="R25" s="32"/>
    </row>
    <row r="26" spans="1:20" ht="14.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 s="32"/>
    </row>
    <row r="27" spans="1:20" ht="12">
      <c r="A27" s="84" t="s">
        <v>17</v>
      </c>
      <c r="B27" s="84"/>
      <c r="C27" s="84"/>
      <c r="D27" s="23">
        <f t="shared" ref="D27:O27" si="4">D28+D45+D61+D102+D110+D123</f>
        <v>302630.67195000005</v>
      </c>
      <c r="E27" s="23">
        <f t="shared" si="4"/>
        <v>252297.14760000003</v>
      </c>
      <c r="F27" s="23">
        <f t="shared" si="4"/>
        <v>311244.00310000003</v>
      </c>
      <c r="G27" s="23">
        <f t="shared" si="4"/>
        <v>270394.25520000001</v>
      </c>
      <c r="H27" s="23">
        <f t="shared" si="4"/>
        <v>305090.90270000004</v>
      </c>
      <c r="I27" s="23">
        <f t="shared" si="4"/>
        <v>321672.91495000001</v>
      </c>
      <c r="J27" s="23">
        <f t="shared" si="4"/>
        <v>296836.25544999994</v>
      </c>
      <c r="K27" s="23">
        <f t="shared" si="4"/>
        <v>265450.16295000003</v>
      </c>
      <c r="L27" s="23">
        <f t="shared" si="4"/>
        <v>278230.6667</v>
      </c>
      <c r="M27" s="23">
        <f t="shared" si="4"/>
        <v>296051.20939999999</v>
      </c>
      <c r="N27" s="23">
        <f t="shared" si="4"/>
        <v>264665.52104999998</v>
      </c>
      <c r="O27" s="23">
        <f t="shared" si="4"/>
        <v>278154.66680000001</v>
      </c>
      <c r="P27" s="23">
        <f>SUM(D27:O27)</f>
        <v>3442718.3778500007</v>
      </c>
      <c r="Q27" s="24">
        <f t="shared" si="2"/>
        <v>286893.19815416675</v>
      </c>
      <c r="R27" s="46" t="s">
        <v>18</v>
      </c>
      <c r="S27" s="18">
        <v>1.0449999999999999</v>
      </c>
      <c r="T27" s="19">
        <v>4.4999999999999998E-2</v>
      </c>
    </row>
    <row r="28" spans="1:20" ht="12">
      <c r="A28" s="74" t="s">
        <v>19</v>
      </c>
      <c r="B28" s="74"/>
      <c r="C28" s="74"/>
      <c r="D28" s="8">
        <f>SUM(D29:D44)</f>
        <v>9137.3607499999998</v>
      </c>
      <c r="E28" s="8">
        <f t="shared" ref="E28:O28" si="5">SUM(E29:E44)</f>
        <v>8418.0036500000006</v>
      </c>
      <c r="F28" s="8">
        <f t="shared" si="5"/>
        <v>83898.211650000012</v>
      </c>
      <c r="G28" s="8">
        <f t="shared" si="5"/>
        <v>11787.819449999999</v>
      </c>
      <c r="H28" s="8">
        <f t="shared" si="5"/>
        <v>9820.220299999999</v>
      </c>
      <c r="I28" s="8">
        <f t="shared" si="5"/>
        <v>11732.215</v>
      </c>
      <c r="J28" s="8">
        <f t="shared" si="5"/>
        <v>11683.813550000001</v>
      </c>
      <c r="K28" s="8">
        <f t="shared" si="5"/>
        <v>10756.028249999999</v>
      </c>
      <c r="L28" s="8">
        <f t="shared" si="5"/>
        <v>14142.8001</v>
      </c>
      <c r="M28" s="8">
        <f t="shared" si="5"/>
        <v>11295.990199999998</v>
      </c>
      <c r="N28" s="8">
        <f t="shared" si="5"/>
        <v>10879.494999999999</v>
      </c>
      <c r="O28" s="8">
        <f t="shared" si="5"/>
        <v>9734.8855999999996</v>
      </c>
      <c r="P28" s="8">
        <f>SUM(P29:P44)</f>
        <v>203286.84350000002</v>
      </c>
      <c r="Q28" s="8">
        <f>P28/12</f>
        <v>16940.570291666667</v>
      </c>
      <c r="R28" s="32"/>
    </row>
    <row r="29" spans="1:20" ht="12">
      <c r="A29" s="69" t="s">
        <v>20</v>
      </c>
      <c r="B29" s="69"/>
      <c r="C29" s="69"/>
      <c r="D29" s="3">
        <v>34</v>
      </c>
      <c r="E29" s="3">
        <v>34</v>
      </c>
      <c r="F29" s="3">
        <f>'REALIZADO 2025'!F28*'PREVISTO 2026'!$S$27</f>
        <v>82.544549999999987</v>
      </c>
      <c r="G29" s="3">
        <f>'REALIZADO 2025'!G28*'PREVISTO 2026'!$S$27</f>
        <v>62.062549999999995</v>
      </c>
      <c r="H29" s="3">
        <f>'REALIZADO 2025'!H28*'PREVISTO 2026'!$S$27</f>
        <v>101.5949</v>
      </c>
      <c r="I29" s="3">
        <f>'REALIZADO 2025'!I28*'PREVISTO 2026'!$S$27</f>
        <v>39.605499999999999</v>
      </c>
      <c r="J29" s="3">
        <v>35</v>
      </c>
      <c r="K29" s="3">
        <f>'REALIZADO 2025'!K28*'PREVISTO 2026'!$S$27</f>
        <v>33.335499999999996</v>
      </c>
      <c r="L29" s="3">
        <f>'REALIZADO 2025'!L28*'PREVISTO 2026'!$S$27</f>
        <v>33.335499999999996</v>
      </c>
      <c r="M29" s="3">
        <f>'REALIZADO 2025'!M28*'PREVISTO 2026'!$S$27</f>
        <v>34.380499999999998</v>
      </c>
      <c r="N29" s="3">
        <f>'REALIZADO 2025'!N28*'PREVISTO 2026'!$S$27</f>
        <v>31.245499999999996</v>
      </c>
      <c r="O29" s="3">
        <f>'REALIZADO 2025'!O28*'PREVISTO 2026'!$S$27</f>
        <v>31.517199999999999</v>
      </c>
      <c r="P29" s="25">
        <f t="shared" ref="P29:P44" si="6">SUM(D29:O29)</f>
        <v>552.62170000000003</v>
      </c>
      <c r="Q29" s="25">
        <f t="shared" si="2"/>
        <v>46.051808333333334</v>
      </c>
      <c r="R29" s="5"/>
    </row>
    <row r="30" spans="1:20" ht="12">
      <c r="A30" s="69" t="s">
        <v>21</v>
      </c>
      <c r="B30" s="69"/>
      <c r="C30" s="69"/>
      <c r="D30" s="3">
        <f>'REALIZADO 2025'!D29*'PREVISTO 2026'!$S$27</f>
        <v>0</v>
      </c>
      <c r="E30" s="3">
        <f>'REALIZADO 2025'!E29*'PREVISTO 2026'!$S$27</f>
        <v>0</v>
      </c>
      <c r="F30" s="3">
        <f>'REALIZADO 2025'!F29*'PREVISTO 2026'!$S$27</f>
        <v>196.34504999999999</v>
      </c>
      <c r="G30" s="3">
        <f>'REALIZADO 2025'!G29*'PREVISTO 2026'!$S$27</f>
        <v>0</v>
      </c>
      <c r="H30" s="3">
        <f>'REALIZADO 2025'!H29*'PREVISTO 2026'!$S$27</f>
        <v>0</v>
      </c>
      <c r="I30" s="3">
        <f>'REALIZADO 2025'!I29*'PREVISTO 2026'!$S$27</f>
        <v>0</v>
      </c>
      <c r="J30" s="3">
        <f>'REALIZADO 2025'!J29*'PREVISTO 2026'!$S$27</f>
        <v>415.90999999999997</v>
      </c>
      <c r="K30" s="3">
        <f>'REALIZADO 2025'!K29*'PREVISTO 2026'!$S$27</f>
        <v>176.54229999999998</v>
      </c>
      <c r="L30" s="3">
        <f>'REALIZADO 2025'!L29*'PREVISTO 2026'!$S$27</f>
        <v>0</v>
      </c>
      <c r="M30" s="3">
        <f>'REALIZADO 2025'!M29*'PREVISTO 2026'!$S$27</f>
        <v>0</v>
      </c>
      <c r="N30" s="3">
        <f>'REALIZADO 2025'!N29*'PREVISTO 2026'!$S$27</f>
        <v>424.68799999999993</v>
      </c>
      <c r="O30" s="3">
        <f>'REALIZADO 2025'!O29*'PREVISTO 2026'!$S$27</f>
        <v>0</v>
      </c>
      <c r="P30" s="25">
        <f t="shared" si="6"/>
        <v>1213.4853499999999</v>
      </c>
      <c r="Q30" s="25">
        <f t="shared" si="2"/>
        <v>101.12377916666667</v>
      </c>
      <c r="R30" s="5"/>
    </row>
    <row r="31" spans="1:20" ht="12">
      <c r="A31" s="69" t="s">
        <v>22</v>
      </c>
      <c r="B31" s="69"/>
      <c r="C31" s="69"/>
      <c r="D31" s="3">
        <f>'REALIZADO 2025'!D30*'PREVISTO 2026'!$S$27</f>
        <v>0</v>
      </c>
      <c r="E31" s="3">
        <f>'REALIZADO 2025'!E30*'PREVISTO 2026'!$S$27</f>
        <v>0</v>
      </c>
      <c r="F31" s="3">
        <f>'REALIZADO 2025'!F30*'PREVISTO 2026'!$S$27</f>
        <v>0</v>
      </c>
      <c r="G31" s="3">
        <f>'REALIZADO 2025'!G30*'PREVISTO 2026'!$S$27</f>
        <v>0</v>
      </c>
      <c r="H31" s="3">
        <f>'REALIZADO 2025'!H30*'PREVISTO 2026'!$S$27</f>
        <v>187.65064999999998</v>
      </c>
      <c r="I31" s="3">
        <f>'REALIZADO 2025'!I30*'PREVISTO 2026'!$S$27</f>
        <v>0</v>
      </c>
      <c r="J31" s="3">
        <f>'REALIZADO 2025'!J30*'PREVISTO 2026'!$S$27</f>
        <v>0</v>
      </c>
      <c r="K31" s="3">
        <f>'REALIZADO 2025'!K30*'PREVISTO 2026'!$S$27</f>
        <v>0</v>
      </c>
      <c r="L31" s="3">
        <f>'REALIZADO 2025'!L30*'PREVISTO 2026'!$S$27</f>
        <v>0</v>
      </c>
      <c r="M31" s="3">
        <f>'REALIZADO 2025'!M30*'PREVISTO 2026'!$S$27</f>
        <v>209</v>
      </c>
      <c r="N31" s="3">
        <f>'REALIZADO 2025'!N30*'PREVISTO 2026'!$S$27</f>
        <v>0</v>
      </c>
      <c r="O31" s="3">
        <f>'REALIZADO 2025'!O30*'PREVISTO 2026'!$S$27</f>
        <v>0</v>
      </c>
      <c r="P31" s="25">
        <f t="shared" si="6"/>
        <v>396.65064999999998</v>
      </c>
      <c r="Q31" s="25">
        <f t="shared" si="2"/>
        <v>33.054220833333332</v>
      </c>
      <c r="R31" s="5"/>
    </row>
    <row r="32" spans="1:20" ht="12">
      <c r="A32" s="69" t="s">
        <v>23</v>
      </c>
      <c r="B32" s="69"/>
      <c r="C32" s="69"/>
      <c r="D32" s="3">
        <f>'REALIZADO 2025'!D31*'PREVISTO 2026'!$S$27</f>
        <v>0</v>
      </c>
      <c r="E32" s="3">
        <f>'REALIZADO 2025'!E31*'PREVISTO 2026'!$S$27</f>
        <v>0</v>
      </c>
      <c r="F32" s="3">
        <f>'REALIZADO 2025'!F31*'PREVISTO 2026'!$S$27</f>
        <v>0</v>
      </c>
      <c r="G32" s="3">
        <f>'REALIZADO 2025'!G31*'PREVISTO 2026'!$S$27</f>
        <v>2612.5</v>
      </c>
      <c r="H32" s="3">
        <f>'REALIZADO 2025'!H31*'PREVISTO 2026'!$S$27</f>
        <v>0</v>
      </c>
      <c r="I32" s="3">
        <f>'REALIZADO 2025'!I31*'PREVISTO 2026'!$S$27</f>
        <v>0</v>
      </c>
      <c r="J32" s="3">
        <f>'REALIZADO 2025'!J31*'PREVISTO 2026'!$S$27</f>
        <v>0</v>
      </c>
      <c r="K32" s="3">
        <f>'REALIZADO 2025'!K31*'PREVISTO 2026'!$S$27</f>
        <v>0</v>
      </c>
      <c r="L32" s="3">
        <f>'REALIZADO 2025'!L31*'PREVISTO 2026'!$S$27</f>
        <v>0</v>
      </c>
      <c r="M32" s="3">
        <f>'REALIZADO 2025'!M31*'PREVISTO 2026'!$S$27</f>
        <v>0</v>
      </c>
      <c r="N32" s="3">
        <f>'REALIZADO 2025'!N31*'PREVISTO 2026'!$S$27</f>
        <v>0</v>
      </c>
      <c r="O32" s="3">
        <f>'REALIZADO 2025'!O31*'PREVISTO 2026'!$S$27</f>
        <v>0</v>
      </c>
      <c r="P32" s="25">
        <f t="shared" si="6"/>
        <v>2612.5</v>
      </c>
      <c r="Q32" s="25">
        <f t="shared" si="2"/>
        <v>217.70833333333334</v>
      </c>
      <c r="R32" s="5"/>
    </row>
    <row r="33" spans="1:21" ht="12">
      <c r="A33" s="69" t="s">
        <v>24</v>
      </c>
      <c r="B33" s="69"/>
      <c r="C33" s="69"/>
      <c r="D33" s="3">
        <f>'REALIZADO 2025'!D34*'PREVISTO 2026'!$S$27</f>
        <v>0</v>
      </c>
      <c r="E33" s="3">
        <f>'REALIZADO 2025'!E34*'PREVISTO 2026'!$S$27</f>
        <v>0</v>
      </c>
      <c r="F33" s="3">
        <f>'REALIZADO 2025'!F34*'PREVISTO 2026'!$S$27</f>
        <v>0</v>
      </c>
      <c r="G33" s="3">
        <f>'REALIZADO 2025'!G34*'PREVISTO 2026'!$S$27</f>
        <v>0</v>
      </c>
      <c r="H33" s="3">
        <f>'REALIZADO 2025'!H34*'PREVISTO 2026'!$S$27</f>
        <v>0</v>
      </c>
      <c r="I33" s="3">
        <f>'REALIZADO 2025'!I34*'PREVISTO 2026'!$S$27</f>
        <v>621.48239999999998</v>
      </c>
      <c r="J33" s="3">
        <f>'REALIZADO 2025'!J34*'PREVISTO 2026'!$S$27</f>
        <v>0</v>
      </c>
      <c r="K33" s="3">
        <f>'REALIZADO 2025'!K34*'PREVISTO 2026'!$S$27</f>
        <v>0</v>
      </c>
      <c r="L33" s="3">
        <f>'REALIZADO 2025'!L34*'PREVISTO 2026'!$S$27</f>
        <v>0</v>
      </c>
      <c r="M33" s="3">
        <f>'REALIZADO 2025'!M34*'PREVISTO 2026'!$S$27</f>
        <v>0</v>
      </c>
      <c r="N33" s="3">
        <f>'REALIZADO 2025'!N34*'PREVISTO 2026'!$S$27</f>
        <v>0</v>
      </c>
      <c r="O33" s="3">
        <f>'REALIZADO 2025'!O34*'PREVISTO 2026'!$S$27</f>
        <v>0</v>
      </c>
      <c r="P33" s="25">
        <f t="shared" si="6"/>
        <v>621.48239999999998</v>
      </c>
      <c r="Q33" s="25">
        <f t="shared" si="2"/>
        <v>51.790199999999999</v>
      </c>
      <c r="R33" s="5"/>
    </row>
    <row r="34" spans="1:21" ht="12">
      <c r="A34" s="69" t="s">
        <v>25</v>
      </c>
      <c r="B34" s="69"/>
      <c r="C34" s="69"/>
      <c r="D34" s="3">
        <f>'REALIZADO 2025'!D35*'PREVISTO 2026'!$S$27</f>
        <v>372.17674999999997</v>
      </c>
      <c r="E34" s="3">
        <f>'REALIZADO 2025'!E35*'PREVISTO 2026'!$S$27</f>
        <v>365.75</v>
      </c>
      <c r="F34" s="3">
        <f>'REALIZADO 2025'!F35*'PREVISTO 2026'!$S$27</f>
        <v>937.05150000000003</v>
      </c>
      <c r="G34" s="3">
        <f>'REALIZADO 2025'!G35*'PREVISTO 2026'!$S$27</f>
        <v>510.43024999999994</v>
      </c>
      <c r="H34" s="3">
        <f>'REALIZADO 2025'!H35*'PREVISTO 2026'!$S$27</f>
        <v>320.76274999999998</v>
      </c>
      <c r="I34" s="3">
        <f>'REALIZADO 2025'!I35*'PREVISTO 2026'!$S$27</f>
        <v>403.36999999999995</v>
      </c>
      <c r="J34" s="3">
        <f>'REALIZADO 2025'!J35*'PREVISTO 2026'!$S$27</f>
        <v>1135.7059999999999</v>
      </c>
      <c r="K34" s="3">
        <f>'REALIZADO 2025'!K35*'PREVISTO 2026'!$S$27</f>
        <v>406.45274999999998</v>
      </c>
      <c r="L34" s="3">
        <f>'REALIZADO 2025'!L35*'PREVISTO 2026'!$S$27</f>
        <v>981.5162499999999</v>
      </c>
      <c r="M34" s="3">
        <f>'REALIZADO 2025'!M35*'PREVISTO 2026'!$S$27</f>
        <v>919.80899999999997</v>
      </c>
      <c r="N34" s="3">
        <f>'REALIZADO 2025'!N35*'PREVISTO 2026'!$S$27</f>
        <v>558.1345</v>
      </c>
      <c r="O34" s="3">
        <f>'REALIZADO 2025'!O35*'PREVISTO 2026'!$S$27</f>
        <v>328.75700000000001</v>
      </c>
      <c r="P34" s="25">
        <f t="shared" si="6"/>
        <v>7239.9167499999994</v>
      </c>
      <c r="Q34" s="25">
        <f t="shared" si="2"/>
        <v>603.32639583333332</v>
      </c>
      <c r="R34" s="5"/>
    </row>
    <row r="35" spans="1:21" ht="12">
      <c r="A35" s="69" t="s">
        <v>26</v>
      </c>
      <c r="B35" s="69"/>
      <c r="C35" s="69"/>
      <c r="D35" s="3">
        <f>'REALIZADO 2025'!D36*'PREVISTO 2026'!$S$27</f>
        <v>522.5</v>
      </c>
      <c r="E35" s="3">
        <f>'REALIZADO 2025'!E36*'PREVISTO 2026'!$S$27</f>
        <v>0</v>
      </c>
      <c r="F35" s="3">
        <f>'REALIZADO 2025'!F36*'PREVISTO 2026'!$S$27</f>
        <v>522.5</v>
      </c>
      <c r="G35" s="3">
        <f>'REALIZADO 2025'!G36*'PREVISTO 2026'!$S$27</f>
        <v>522.5</v>
      </c>
      <c r="H35" s="3">
        <f>'REALIZADO 2025'!H36*'PREVISTO 2026'!$S$27</f>
        <v>522.5</v>
      </c>
      <c r="I35" s="3">
        <f>'REALIZADO 2025'!I36*'PREVISTO 2026'!$S$27</f>
        <v>522.5</v>
      </c>
      <c r="J35" s="3">
        <f>'REALIZADO 2025'!J36*'PREVISTO 2026'!$S$27</f>
        <v>0</v>
      </c>
      <c r="K35" s="3">
        <f>'REALIZADO 2025'!K36*'PREVISTO 2026'!$S$27</f>
        <v>522.5</v>
      </c>
      <c r="L35" s="3">
        <f>'REALIZADO 2025'!L36*'PREVISTO 2026'!$S$27</f>
        <v>522.5</v>
      </c>
      <c r="M35" s="3">
        <f>'REALIZADO 2025'!M36*'PREVISTO 2026'!$S$27</f>
        <v>522.5</v>
      </c>
      <c r="N35" s="3">
        <f>'REALIZADO 2025'!N36*'PREVISTO 2026'!$S$27</f>
        <v>522.5</v>
      </c>
      <c r="O35" s="3">
        <f>'REALIZADO 2025'!O36*'PREVISTO 2026'!$S$27</f>
        <v>0</v>
      </c>
      <c r="P35" s="25">
        <f t="shared" si="6"/>
        <v>4702.5</v>
      </c>
      <c r="Q35" s="25">
        <f t="shared" si="2"/>
        <v>391.875</v>
      </c>
      <c r="R35" s="5"/>
    </row>
    <row r="36" spans="1:21" ht="12">
      <c r="A36" s="69" t="s">
        <v>27</v>
      </c>
      <c r="B36" s="69"/>
      <c r="C36" s="69"/>
      <c r="D36" s="3">
        <f>'REALIZADO 2025'!D37*'PREVISTO 2026'!$S$27</f>
        <v>0</v>
      </c>
      <c r="E36" s="3">
        <f>'REALIZADO 2025'!E37*'PREVISTO 2026'!$S$27</f>
        <v>0</v>
      </c>
      <c r="F36" s="3">
        <f>'REALIZADO 2025'!F37*'PREVISTO 2026'!$S$27</f>
        <v>0</v>
      </c>
      <c r="G36" s="3">
        <f>'REALIZADO 2025'!G37*'PREVISTO 2026'!$S$27</f>
        <v>0</v>
      </c>
      <c r="H36" s="3">
        <f>'REALIZADO 2025'!H37*'PREVISTO 2026'!$S$27</f>
        <v>0</v>
      </c>
      <c r="I36" s="3">
        <f>'REALIZADO 2025'!I37*'PREVISTO 2026'!$S$27</f>
        <v>0</v>
      </c>
      <c r="J36" s="3">
        <f>'REALIZADO 2025'!J37*'PREVISTO 2026'!$S$27</f>
        <v>0</v>
      </c>
      <c r="K36" s="3">
        <f>'REALIZADO 2025'!K37*'PREVISTO 2026'!$S$27</f>
        <v>0</v>
      </c>
      <c r="L36" s="3">
        <f>'REALIZADO 2025'!L37*'PREVISTO 2026'!$S$27</f>
        <v>0</v>
      </c>
      <c r="M36" s="3">
        <f>'REALIZADO 2025'!M37*'PREVISTO 2026'!$S$27</f>
        <v>0</v>
      </c>
      <c r="N36" s="3">
        <f>'REALIZADO 2025'!N37*'PREVISTO 2026'!$S$27</f>
        <v>0</v>
      </c>
      <c r="O36" s="3">
        <f>'REALIZADO 2025'!O37*'PREVISTO 2026'!$S$27</f>
        <v>1418.4307499999998</v>
      </c>
      <c r="P36" s="25">
        <f t="shared" si="6"/>
        <v>1418.4307499999998</v>
      </c>
      <c r="Q36" s="25">
        <f t="shared" si="2"/>
        <v>118.20256249999998</v>
      </c>
      <c r="R36" s="5"/>
    </row>
    <row r="37" spans="1:21" ht="12">
      <c r="A37" s="69" t="s">
        <v>28</v>
      </c>
      <c r="B37" s="69"/>
      <c r="C37" s="69"/>
      <c r="D37" s="3">
        <f>5043.17*$S$27</f>
        <v>5270.11265</v>
      </c>
      <c r="E37" s="3">
        <f t="shared" ref="E37:O37" si="7">5043.17*$S$27</f>
        <v>5270.11265</v>
      </c>
      <c r="F37" s="3">
        <f t="shared" si="7"/>
        <v>5270.11265</v>
      </c>
      <c r="G37" s="3">
        <f t="shared" si="7"/>
        <v>5270.11265</v>
      </c>
      <c r="H37" s="3">
        <f t="shared" si="7"/>
        <v>5270.11265</v>
      </c>
      <c r="I37" s="3">
        <f t="shared" si="7"/>
        <v>5270.11265</v>
      </c>
      <c r="J37" s="3">
        <f t="shared" si="7"/>
        <v>5270.11265</v>
      </c>
      <c r="K37" s="3">
        <f t="shared" si="7"/>
        <v>5270.11265</v>
      </c>
      <c r="L37" s="3">
        <f t="shared" si="7"/>
        <v>5270.11265</v>
      </c>
      <c r="M37" s="3">
        <f t="shared" si="7"/>
        <v>5270.11265</v>
      </c>
      <c r="N37" s="3">
        <f t="shared" si="7"/>
        <v>5270.11265</v>
      </c>
      <c r="O37" s="3">
        <f t="shared" si="7"/>
        <v>5270.11265</v>
      </c>
      <c r="P37" s="25">
        <f t="shared" si="6"/>
        <v>63241.351800000011</v>
      </c>
      <c r="Q37" s="25">
        <f t="shared" si="2"/>
        <v>5270.1126500000009</v>
      </c>
      <c r="R37" s="5"/>
    </row>
    <row r="38" spans="1:21" ht="12">
      <c r="A38" s="69" t="s">
        <v>29</v>
      </c>
      <c r="B38" s="69"/>
      <c r="C38" s="69"/>
      <c r="D38" s="3">
        <f>2570.4*$S$27</f>
        <v>2686.0679999999998</v>
      </c>
      <c r="E38" s="3">
        <f t="shared" ref="E38:O38" si="8">2570.4*$S$27</f>
        <v>2686.0679999999998</v>
      </c>
      <c r="F38" s="3">
        <f t="shared" si="8"/>
        <v>2686.0679999999998</v>
      </c>
      <c r="G38" s="3">
        <f t="shared" si="8"/>
        <v>2686.0679999999998</v>
      </c>
      <c r="H38" s="3">
        <f t="shared" si="8"/>
        <v>2686.0679999999998</v>
      </c>
      <c r="I38" s="3">
        <f t="shared" si="8"/>
        <v>2686.0679999999998</v>
      </c>
      <c r="J38" s="3">
        <f t="shared" si="8"/>
        <v>2686.0679999999998</v>
      </c>
      <c r="K38" s="3">
        <f t="shared" si="8"/>
        <v>2686.0679999999998</v>
      </c>
      <c r="L38" s="3">
        <f t="shared" si="8"/>
        <v>2686.0679999999998</v>
      </c>
      <c r="M38" s="3">
        <f t="shared" si="8"/>
        <v>2686.0679999999998</v>
      </c>
      <c r="N38" s="3">
        <f t="shared" si="8"/>
        <v>2686.0679999999998</v>
      </c>
      <c r="O38" s="3">
        <f t="shared" si="8"/>
        <v>2686.0679999999998</v>
      </c>
      <c r="P38" s="25">
        <f t="shared" si="6"/>
        <v>32232.815999999995</v>
      </c>
      <c r="Q38" s="25">
        <f t="shared" si="2"/>
        <v>2686.0679999999998</v>
      </c>
      <c r="R38" s="5"/>
    </row>
    <row r="39" spans="1:21" ht="12">
      <c r="A39" s="69" t="s">
        <v>30</v>
      </c>
      <c r="B39" s="69"/>
      <c r="C39" s="69"/>
      <c r="D39" s="3">
        <f>'REALIZADO 2025'!D40*'PREVISTO 2026'!$S$27</f>
        <v>0</v>
      </c>
      <c r="E39" s="3">
        <f>'REALIZADO 2025'!E40*'PREVISTO 2026'!$S$27</f>
        <v>0</v>
      </c>
      <c r="F39" s="3">
        <f>'REALIZADO 2025'!F40*'PREVISTO 2026'!$S$27</f>
        <v>68382.051649999994</v>
      </c>
      <c r="G39" s="3">
        <f>'REALIZADO 2025'!G40*'PREVISTO 2026'!$S$27</f>
        <v>0</v>
      </c>
      <c r="H39" s="3">
        <f>'REALIZADO 2025'!H40*'PREVISTO 2026'!$S$27</f>
        <v>0</v>
      </c>
      <c r="I39" s="3">
        <f>'REALIZADO 2025'!I40*'PREVISTO 2026'!$S$27</f>
        <v>0</v>
      </c>
      <c r="J39" s="3">
        <f>'REALIZADO 2025'!J40*'PREVISTO 2026'!$S$27</f>
        <v>0</v>
      </c>
      <c r="K39" s="3">
        <f>'REALIZADO 2025'!K40*'PREVISTO 2026'!$S$27</f>
        <v>0</v>
      </c>
      <c r="L39" s="3">
        <f>'REALIZADO 2025'!L40*'PREVISTO 2026'!$S$27</f>
        <v>0</v>
      </c>
      <c r="M39" s="3">
        <f>'REALIZADO 2025'!M40*'PREVISTO 2026'!$S$27</f>
        <v>0</v>
      </c>
      <c r="N39" s="3">
        <f>'REALIZADO 2025'!N40*'PREVISTO 2026'!$S$27</f>
        <v>0</v>
      </c>
      <c r="O39" s="3">
        <f>'REALIZADO 2025'!O40*'PREVISTO 2026'!$S$27</f>
        <v>0</v>
      </c>
      <c r="P39" s="25">
        <f t="shared" si="6"/>
        <v>68382.051649999994</v>
      </c>
      <c r="Q39" s="25">
        <f t="shared" si="2"/>
        <v>5698.5043041666659</v>
      </c>
      <c r="R39" s="5"/>
    </row>
    <row r="40" spans="1:21" ht="12">
      <c r="A40" s="69" t="s">
        <v>31</v>
      </c>
      <c r="B40" s="69"/>
      <c r="C40" s="69"/>
      <c r="D40" s="3">
        <f>'REALIZADO 2025'!D41*'PREVISTO 2026'!$S$27</f>
        <v>0</v>
      </c>
      <c r="E40" s="3">
        <f>'REALIZADO 2025'!E41*'PREVISTO 2026'!$S$27</f>
        <v>0</v>
      </c>
      <c r="F40" s="3">
        <f>'REALIZADO 2025'!F41*'PREVISTO 2026'!$S$27</f>
        <v>5540.2660499999993</v>
      </c>
      <c r="G40" s="3">
        <f>'REALIZADO 2025'!G41*'PREVISTO 2026'!$S$27</f>
        <v>0</v>
      </c>
      <c r="H40" s="3">
        <f>'REALIZADO 2025'!H41*'PREVISTO 2026'!$S$27</f>
        <v>0</v>
      </c>
      <c r="I40" s="3">
        <f>'REALIZADO 2025'!I41*'PREVISTO 2026'!$S$27</f>
        <v>0</v>
      </c>
      <c r="J40" s="3">
        <f>'REALIZADO 2025'!J41*'PREVISTO 2026'!$S$27</f>
        <v>0</v>
      </c>
      <c r="K40" s="3">
        <f>'REALIZADO 2025'!K41*'PREVISTO 2026'!$S$27</f>
        <v>0</v>
      </c>
      <c r="L40" s="3">
        <f>'REALIZADO 2025'!L41*'PREVISTO 2026'!$S$27</f>
        <v>0</v>
      </c>
      <c r="M40" s="3">
        <f>'REALIZADO 2025'!M41*'PREVISTO 2026'!$S$27</f>
        <v>0</v>
      </c>
      <c r="N40" s="3">
        <f>'REALIZADO 2025'!N41*'PREVISTO 2026'!$S$27</f>
        <v>0</v>
      </c>
      <c r="O40" s="3">
        <f>'REALIZADO 2025'!O41*'PREVISTO 2026'!$S$27</f>
        <v>0</v>
      </c>
      <c r="P40" s="25">
        <f t="shared" si="6"/>
        <v>5540.2660499999993</v>
      </c>
      <c r="Q40" s="25">
        <f t="shared" si="2"/>
        <v>461.68883749999992</v>
      </c>
      <c r="R40" s="5"/>
    </row>
    <row r="41" spans="1:21" ht="12">
      <c r="A41" s="69" t="s">
        <v>32</v>
      </c>
      <c r="B41" s="69"/>
      <c r="C41" s="69"/>
      <c r="D41" s="3">
        <f>'REALIZADO 2025'!D42*'PREVISTO 2026'!$S$27</f>
        <v>0</v>
      </c>
      <c r="E41" s="3">
        <f>'REALIZADO 2025'!E42*'PREVISTO 2026'!$S$27</f>
        <v>0</v>
      </c>
      <c r="F41" s="3">
        <f>'REALIZADO 2025'!F42*'PREVISTO 2026'!$S$27</f>
        <v>0</v>
      </c>
      <c r="G41" s="3">
        <f>'REALIZADO 2025'!G42*'PREVISTO 2026'!$S$27</f>
        <v>0</v>
      </c>
      <c r="H41" s="3">
        <f>'REALIZADO 2025'!H42*'PREVISTO 2026'!$S$27</f>
        <v>731.53134999999997</v>
      </c>
      <c r="I41" s="3">
        <f>'REALIZADO 2025'!I42*'PREVISTO 2026'!$S$27</f>
        <v>0</v>
      </c>
      <c r="J41" s="3">
        <f>'REALIZADO 2025'!J42*'PREVISTO 2026'!$S$27</f>
        <v>0</v>
      </c>
      <c r="K41" s="3">
        <f>'REALIZADO 2025'!K42*'PREVISTO 2026'!$S$27</f>
        <v>0</v>
      </c>
      <c r="L41" s="3">
        <f>'REALIZADO 2025'!L42*'PREVISTO 2026'!$S$27</f>
        <v>0</v>
      </c>
      <c r="M41" s="3">
        <f>'REALIZADO 2025'!M42*'PREVISTO 2026'!$S$27</f>
        <v>0</v>
      </c>
      <c r="N41" s="3">
        <f>'REALIZADO 2025'!N42*'PREVISTO 2026'!$S$27</f>
        <v>0</v>
      </c>
      <c r="O41" s="3">
        <f>'REALIZADO 2025'!O42*'PREVISTO 2026'!$S$27</f>
        <v>0</v>
      </c>
      <c r="P41" s="25">
        <f t="shared" si="6"/>
        <v>731.53134999999997</v>
      </c>
      <c r="Q41" s="25">
        <f t="shared" si="2"/>
        <v>60.960945833333334</v>
      </c>
      <c r="R41" s="5"/>
    </row>
    <row r="42" spans="1:21" ht="12">
      <c r="A42" s="69" t="s">
        <v>33</v>
      </c>
      <c r="B42" s="69"/>
      <c r="C42" s="69"/>
      <c r="D42" s="3">
        <f>'REALIZADO 2025'!D43*'PREVISTO 2026'!$S$27</f>
        <v>0</v>
      </c>
      <c r="E42" s="3">
        <f>'REALIZADO 2025'!E43*'PREVISTO 2026'!$S$27</f>
        <v>0</v>
      </c>
      <c r="F42" s="3">
        <f>'REALIZADO 2025'!F43*'PREVISTO 2026'!$S$27</f>
        <v>0</v>
      </c>
      <c r="G42" s="3">
        <f>'REALIZADO 2025'!G43*'PREVISTO 2026'!$S$27</f>
        <v>0</v>
      </c>
      <c r="H42" s="3">
        <f>'REALIZADO 2025'!H43*'PREVISTO 2026'!$S$27</f>
        <v>0</v>
      </c>
      <c r="I42" s="3">
        <f>'REALIZADO 2025'!I43*'PREVISTO 2026'!$S$27</f>
        <v>1386.64185</v>
      </c>
      <c r="J42" s="3">
        <f>'REALIZADO 2025'!J43*'PREVISTO 2026'!$S$27</f>
        <v>1386.64185</v>
      </c>
      <c r="K42" s="3">
        <f>'REALIZADO 2025'!K43*'PREVISTO 2026'!$S$27</f>
        <v>1386.64185</v>
      </c>
      <c r="L42" s="3">
        <f>'REALIZADO 2025'!L43*'PREVISTO 2026'!$S$27</f>
        <v>1386.64185</v>
      </c>
      <c r="M42" s="3">
        <f>'REALIZADO 2025'!M43*'PREVISTO 2026'!$S$27</f>
        <v>1386.64185</v>
      </c>
      <c r="N42" s="3">
        <f>'REALIZADO 2025'!N43*'PREVISTO 2026'!$S$27</f>
        <v>1386.7463499999999</v>
      </c>
      <c r="O42" s="3">
        <f>'REALIZADO 2025'!O43*'PREVISTO 2026'!$S$27</f>
        <v>0</v>
      </c>
      <c r="P42" s="25">
        <f t="shared" si="6"/>
        <v>8319.9555999999993</v>
      </c>
      <c r="Q42" s="25">
        <f t="shared" si="2"/>
        <v>693.32963333333328</v>
      </c>
      <c r="R42" s="5"/>
    </row>
    <row r="43" spans="1:21" ht="12">
      <c r="A43" s="69" t="s">
        <v>34</v>
      </c>
      <c r="B43" s="69"/>
      <c r="C43" s="69"/>
      <c r="D43" s="3">
        <f>'REALIZADO 2025'!D44*'PREVISTO 2026'!$S$27</f>
        <v>252.50334999999998</v>
      </c>
      <c r="E43" s="3">
        <f>'REALIZADO 2025'!E44*'PREVISTO 2026'!$S$27</f>
        <v>62.072999999999993</v>
      </c>
      <c r="F43" s="3">
        <f>'REALIZADO 2025'!F44*'PREVISTO 2026'!$S$27</f>
        <v>281.2722</v>
      </c>
      <c r="G43" s="3">
        <f>'REALIZADO 2025'!G44*'PREVISTO 2026'!$S$27</f>
        <v>124.14599999999999</v>
      </c>
      <c r="H43" s="3">
        <f>'REALIZADO 2025'!H44*'PREVISTO 2026'!$S$27</f>
        <v>0</v>
      </c>
      <c r="I43" s="3">
        <f>'REALIZADO 2025'!I44*'PREVISTO 2026'!$S$27</f>
        <v>802.43459999999993</v>
      </c>
      <c r="J43" s="3">
        <f>'REALIZADO 2025'!J44*'PREVISTO 2026'!$S$27</f>
        <v>754.37504999999999</v>
      </c>
      <c r="K43" s="3">
        <f>'REALIZADO 2025'!K44*'PREVISTO 2026'!$S$27</f>
        <v>274.37520000000001</v>
      </c>
      <c r="L43" s="3">
        <f>'REALIZADO 2025'!L44*'PREVISTO 2026'!$S$27</f>
        <v>0</v>
      </c>
      <c r="M43" s="3">
        <f>'REALIZADO 2025'!M44*'PREVISTO 2026'!$S$27</f>
        <v>267.47820000000002</v>
      </c>
      <c r="N43" s="3">
        <f>'REALIZADO 2025'!N44*'PREVISTO 2026'!$S$27</f>
        <v>0</v>
      </c>
      <c r="O43" s="3">
        <f>'REALIZADO 2025'!O44*'PREVISTO 2026'!$S$27</f>
        <v>0</v>
      </c>
      <c r="P43" s="25">
        <f t="shared" si="6"/>
        <v>2818.6576</v>
      </c>
      <c r="Q43" s="25">
        <f t="shared" si="2"/>
        <v>234.88813333333334</v>
      </c>
      <c r="R43" s="5"/>
    </row>
    <row r="44" spans="1:21" ht="12">
      <c r="A44" s="69" t="s">
        <v>35</v>
      </c>
      <c r="B44" s="69"/>
      <c r="C44" s="69"/>
      <c r="D44" s="3">
        <f>'REALIZADO 2025'!D45*'PREVISTO 2026'!$S$27</f>
        <v>0</v>
      </c>
      <c r="E44" s="3">
        <f>'REALIZADO 2025'!E45*'PREVISTO 2026'!$S$27</f>
        <v>0</v>
      </c>
      <c r="F44" s="3">
        <f>'REALIZADO 2025'!F45*'PREVISTO 2026'!$S$27</f>
        <v>0</v>
      </c>
      <c r="G44" s="3">
        <f>'REALIZADO 2025'!G45*'PREVISTO 2026'!$S$27</f>
        <v>0</v>
      </c>
      <c r="H44" s="3">
        <f>'REALIZADO 2025'!H45*'PREVISTO 2026'!$S$27</f>
        <v>0</v>
      </c>
      <c r="I44" s="3">
        <f>'REALIZADO 2025'!I45*'PREVISTO 2026'!$S$27</f>
        <v>0</v>
      </c>
      <c r="J44" s="3">
        <f>'REALIZADO 2025'!J45*'PREVISTO 2026'!$S$27</f>
        <v>0</v>
      </c>
      <c r="K44" s="3">
        <f>'REALIZADO 2025'!K45*'PREVISTO 2026'!$S$27</f>
        <v>0</v>
      </c>
      <c r="L44" s="3">
        <f>'REALIZADO 2025'!L45*'PREVISTO 2026'!$S$27</f>
        <v>3262.6258499999999</v>
      </c>
      <c r="M44" s="3">
        <f>'REALIZADO 2025'!M45*'PREVISTO 2026'!$S$27</f>
        <v>0</v>
      </c>
      <c r="N44" s="3">
        <f>'REALIZADO 2025'!N45*'PREVISTO 2026'!$S$27</f>
        <v>0</v>
      </c>
      <c r="O44" s="3">
        <f>'REALIZADO 2025'!O45*'PREVISTO 2026'!$S$27</f>
        <v>0</v>
      </c>
      <c r="P44" s="25">
        <f t="shared" si="6"/>
        <v>3262.6258499999999</v>
      </c>
      <c r="Q44" s="25">
        <f t="shared" si="2"/>
        <v>271.88548750000001</v>
      </c>
      <c r="R44" s="5"/>
    </row>
    <row r="45" spans="1:21" ht="12">
      <c r="A45" s="78" t="s">
        <v>36</v>
      </c>
      <c r="B45" s="78"/>
      <c r="C45" s="78"/>
      <c r="D45" s="7">
        <f>SUM(D46:D60)</f>
        <v>154479.97080000001</v>
      </c>
      <c r="E45" s="7">
        <f t="shared" ref="E45:O45" si="9">SUM(E46:E60)</f>
        <v>112015.20240000001</v>
      </c>
      <c r="F45" s="7">
        <f t="shared" si="9"/>
        <v>94533.512400000007</v>
      </c>
      <c r="G45" s="7">
        <f t="shared" si="9"/>
        <v>129753.64080000001</v>
      </c>
      <c r="H45" s="7">
        <f t="shared" si="9"/>
        <v>99742.989600000015</v>
      </c>
      <c r="I45" s="7">
        <f t="shared" si="9"/>
        <v>125942.12639999998</v>
      </c>
      <c r="J45" s="7">
        <f t="shared" si="9"/>
        <v>124648.0704</v>
      </c>
      <c r="K45" s="7">
        <f t="shared" si="9"/>
        <v>100689.32880000002</v>
      </c>
      <c r="L45" s="7">
        <f t="shared" si="9"/>
        <v>114748.04520000001</v>
      </c>
      <c r="M45" s="7">
        <f t="shared" si="9"/>
        <v>109260.1764</v>
      </c>
      <c r="N45" s="7">
        <f t="shared" si="9"/>
        <v>113782.26600000002</v>
      </c>
      <c r="O45" s="7">
        <f t="shared" si="9"/>
        <v>135303.16680000001</v>
      </c>
      <c r="P45" s="10">
        <f>SUM(P46:P60)</f>
        <v>1483394.4444000002</v>
      </c>
      <c r="Q45" s="26">
        <f>P45/12</f>
        <v>123616.20370000001</v>
      </c>
      <c r="R45" s="15" t="s">
        <v>18</v>
      </c>
      <c r="S45" s="16">
        <v>1.08</v>
      </c>
      <c r="T45" s="17">
        <v>0.08</v>
      </c>
    </row>
    <row r="46" spans="1:21" ht="12">
      <c r="A46" s="69" t="s">
        <v>37</v>
      </c>
      <c r="B46" s="69"/>
      <c r="C46" s="69"/>
      <c r="D46" s="3">
        <f>'REALIZADO 2025'!D47*'PREVISTO 2026'!$S$45</f>
        <v>52560.36</v>
      </c>
      <c r="E46" s="3">
        <f>'REALIZADO 2025'!E47*'PREVISTO 2026'!$S$45</f>
        <v>50335.560000000005</v>
      </c>
      <c r="F46" s="3">
        <f>'REALIZADO 2025'!F47*'PREVISTO 2026'!$S$45</f>
        <v>47781.36</v>
      </c>
      <c r="G46" s="3">
        <f>'REALIZADO 2025'!G47*'PREVISTO 2026'!$S$45</f>
        <v>51606.720000000001</v>
      </c>
      <c r="H46" s="3">
        <f>'REALIZADO 2025'!H47*'PREVISTO 2026'!$S$45</f>
        <v>47565.36</v>
      </c>
      <c r="I46" s="3">
        <f>'REALIZADO 2025'!I47*'PREVISTO 2026'!$S$45</f>
        <v>51570.432000000008</v>
      </c>
      <c r="J46" s="3">
        <f>'REALIZADO 2025'!J47*'PREVISTO 2026'!$S$45</f>
        <v>52953.48</v>
      </c>
      <c r="K46" s="3">
        <f>'REALIZADO 2025'!K47*'PREVISTO 2026'!$S$45</f>
        <v>47341.8</v>
      </c>
      <c r="L46" s="3">
        <f>'REALIZADO 2025'!L47*'PREVISTO 2026'!$S$45</f>
        <v>47569.464000000007</v>
      </c>
      <c r="M46" s="3">
        <f>'REALIZADO 2025'!M47*'PREVISTO 2026'!$S$45</f>
        <v>51982.560000000005</v>
      </c>
      <c r="N46" s="3">
        <f>'REALIZADO 2025'!N47*'PREVISTO 2026'!$S$45</f>
        <v>57653.640000000007</v>
      </c>
      <c r="O46" s="3">
        <f>'REALIZADO 2025'!O47*'PREVISTO 2026'!$S$45</f>
        <v>57690.36</v>
      </c>
      <c r="P46" s="25">
        <f>SUM(D46:O46)</f>
        <v>616611.09600000002</v>
      </c>
      <c r="Q46" s="25">
        <f t="shared" si="2"/>
        <v>51384.258000000002</v>
      </c>
      <c r="R46" s="5"/>
    </row>
    <row r="47" spans="1:21" ht="12">
      <c r="A47" s="69" t="s">
        <v>38</v>
      </c>
      <c r="B47" s="69"/>
      <c r="C47" s="69"/>
      <c r="D47" s="3">
        <f>'REALIZADO 2025'!D48*'PREVISTO 2026'!$S$45</f>
        <v>23252.497200000002</v>
      </c>
      <c r="E47" s="3">
        <f>'REALIZADO 2025'!E48*'PREVISTO 2026'!$S$45</f>
        <v>15102.039600000002</v>
      </c>
      <c r="F47" s="3">
        <f>'REALIZADO 2025'!F48*'PREVISTO 2026'!$S$45</f>
        <v>6936.1164000000008</v>
      </c>
      <c r="G47" s="3">
        <f>'REALIZADO 2025'!G48*'PREVISTO 2026'!$S$45</f>
        <v>23643.932400000002</v>
      </c>
      <c r="H47" s="3">
        <f>'REALIZADO 2025'!H48*'PREVISTO 2026'!$S$45</f>
        <v>16979.241600000001</v>
      </c>
      <c r="I47" s="3">
        <f>'REALIZADO 2025'!I48*'PREVISTO 2026'!$S$45</f>
        <v>21597.6024</v>
      </c>
      <c r="J47" s="3">
        <f>'REALIZADO 2025'!J48*'PREVISTO 2026'!$S$45</f>
        <v>16055.701200000001</v>
      </c>
      <c r="K47" s="3">
        <f>'REALIZADO 2025'!K48*'PREVISTO 2026'!$S$45</f>
        <v>17160.498000000003</v>
      </c>
      <c r="L47" s="3">
        <f>'REALIZADO 2025'!L48*'PREVISTO 2026'!$S$45</f>
        <v>16563.841199999999</v>
      </c>
      <c r="M47" s="3">
        <f>'REALIZADO 2025'!M48*'PREVISTO 2026'!$S$45</f>
        <v>17580.941999999999</v>
      </c>
      <c r="N47" s="3">
        <f>'REALIZADO 2025'!N48*'PREVISTO 2026'!$S$45</f>
        <v>18011.2356</v>
      </c>
      <c r="O47" s="3">
        <f>'REALIZADO 2025'!O48*'PREVISTO 2026'!$S$45</f>
        <v>17840.4444</v>
      </c>
      <c r="P47" s="25">
        <f>SUM(D47:O47)</f>
        <v>210724.09200000003</v>
      </c>
      <c r="Q47" s="25">
        <f t="shared" si="2"/>
        <v>17560.341000000004</v>
      </c>
      <c r="R47" s="5"/>
      <c r="U47" s="53">
        <f>113000/12</f>
        <v>9416.6666666666661</v>
      </c>
    </row>
    <row r="48" spans="1:21" ht="12">
      <c r="A48" s="69" t="s">
        <v>39</v>
      </c>
      <c r="B48" s="69"/>
      <c r="C48" s="69"/>
      <c r="D48" s="3">
        <f>'REALIZADO 2025'!D49*'PREVISTO 2026'!$S$45</f>
        <v>77.652000000000015</v>
      </c>
      <c r="E48" s="3">
        <f>'REALIZADO 2025'!E49*'PREVISTO 2026'!$S$45</f>
        <v>847.41120000000001</v>
      </c>
      <c r="F48" s="3">
        <f>'REALIZADO 2025'!F49*'PREVISTO 2026'!$S$45</f>
        <v>342.91079999999999</v>
      </c>
      <c r="G48" s="3">
        <f>'REALIZADO 2025'!G49*'PREVISTO 2026'!$S$45</f>
        <v>528.44400000000007</v>
      </c>
      <c r="H48" s="3">
        <f>'REALIZADO 2025'!H49*'PREVISTO 2026'!$S$45</f>
        <v>1798.74</v>
      </c>
      <c r="I48" s="3">
        <f>'REALIZADO 2025'!I49*'PREVISTO 2026'!$S$45</f>
        <v>1893.7800000000002</v>
      </c>
      <c r="J48" s="3">
        <f>'REALIZADO 2025'!J49*'PREVISTO 2026'!$S$45</f>
        <v>539.78399999999999</v>
      </c>
      <c r="K48" s="3">
        <f>'REALIZADO 2025'!K49*'PREVISTO 2026'!$S$45</f>
        <v>0</v>
      </c>
      <c r="L48" s="3">
        <f>'REALIZADO 2025'!L49*'PREVISTO 2026'!$S$45</f>
        <v>400.58280000000008</v>
      </c>
      <c r="M48" s="3">
        <f>'REALIZADO 2025'!M49*'PREVISTO 2026'!$S$45</f>
        <v>0</v>
      </c>
      <c r="N48" s="3">
        <f>'REALIZADO 2025'!N49*'PREVISTO 2026'!$S$45</f>
        <v>1374.4620000000002</v>
      </c>
      <c r="O48" s="3">
        <f>'REALIZADO 2025'!O49*'PREVISTO 2026'!$S$45</f>
        <v>1808.298</v>
      </c>
      <c r="P48" s="25">
        <v>12000</v>
      </c>
      <c r="Q48" s="25">
        <f t="shared" si="2"/>
        <v>1000</v>
      </c>
      <c r="R48" s="5"/>
    </row>
    <row r="49" spans="1:24" ht="12">
      <c r="A49" s="69" t="s">
        <v>40</v>
      </c>
      <c r="B49" s="69"/>
      <c r="C49" s="69"/>
      <c r="D49" s="3">
        <f>'REALIZADO 2025'!D50*'PREVISTO 2026'!$S$45</f>
        <v>266.14440000000002</v>
      </c>
      <c r="E49" s="3">
        <f>'REALIZADO 2025'!E50*'PREVISTO 2026'!$S$45</f>
        <v>263.25</v>
      </c>
      <c r="F49" s="3">
        <f>'REALIZADO 2025'!F50*'PREVISTO 2026'!$S$45</f>
        <v>291.56760000000003</v>
      </c>
      <c r="G49" s="3">
        <f>'REALIZADO 2025'!G50*'PREVISTO 2026'!$S$45</f>
        <v>278.78039999999999</v>
      </c>
      <c r="H49" s="3">
        <f>'REALIZADO 2025'!H50*'PREVISTO 2026'!$S$45</f>
        <v>235.62360000000001</v>
      </c>
      <c r="I49" s="3">
        <f>'REALIZADO 2025'!I50*'PREVISTO 2026'!$S$45</f>
        <v>247.70880000000002</v>
      </c>
      <c r="J49" s="3">
        <f>'REALIZADO 2025'!J50*'PREVISTO 2026'!$S$45</f>
        <v>248.4</v>
      </c>
      <c r="K49" s="3">
        <f>'REALIZADO 2025'!K50*'PREVISTO 2026'!$S$45</f>
        <v>248.4</v>
      </c>
      <c r="L49" s="3">
        <f>'REALIZADO 2025'!L50*'PREVISTO 2026'!$S$45</f>
        <v>422.20440000000002</v>
      </c>
      <c r="M49" s="3">
        <f>'REALIZADO 2025'!M50*'PREVISTO 2026'!$S$45</f>
        <v>316.64520000000005</v>
      </c>
      <c r="N49" s="3">
        <f>'REALIZADO 2025'!N50*'PREVISTO 2026'!$S$45</f>
        <v>324.65880000000004</v>
      </c>
      <c r="O49" s="3">
        <f>'REALIZADO 2025'!O50*'PREVISTO 2026'!$S$45</f>
        <v>308.62080000000003</v>
      </c>
      <c r="P49" s="25">
        <f t="shared" ref="P49:P58" si="10">SUM(D49:O49)</f>
        <v>3452.0040000000004</v>
      </c>
      <c r="Q49" s="25">
        <f t="shared" si="2"/>
        <v>287.66700000000003</v>
      </c>
      <c r="R49" s="5"/>
    </row>
    <row r="50" spans="1:24" ht="12">
      <c r="A50" s="69" t="s">
        <v>41</v>
      </c>
      <c r="B50" s="69"/>
      <c r="C50" s="69"/>
      <c r="D50" s="3">
        <f>'REALIZADO 2025'!D51*'PREVISTO 2026'!$S$45</f>
        <v>0</v>
      </c>
      <c r="E50" s="3">
        <f>'REALIZADO 2025'!E51*'PREVISTO 2026'!$S$45</f>
        <v>0</v>
      </c>
      <c r="F50" s="3">
        <f>'REALIZADO 2025'!F51*'PREVISTO 2026'!$S$45</f>
        <v>0</v>
      </c>
      <c r="G50" s="3">
        <f>'REALIZADO 2025'!G51*'PREVISTO 2026'!$S$45</f>
        <v>0</v>
      </c>
      <c r="H50" s="3">
        <f>'REALIZADO 2025'!H51*'PREVISTO 2026'!$S$45</f>
        <v>0</v>
      </c>
      <c r="I50" s="3">
        <f>'REALIZADO 2025'!I51*'PREVISTO 2026'!$S$45</f>
        <v>0</v>
      </c>
      <c r="J50" s="3">
        <f>'REALIZADO 2025'!J51*'PREVISTO 2026'!$S$45</f>
        <v>0</v>
      </c>
      <c r="K50" s="3">
        <f>'REALIZADO 2025'!K51*'PREVISTO 2026'!$S$45</f>
        <v>0</v>
      </c>
      <c r="L50" s="3">
        <f>'REALIZADO 2025'!L51*'PREVISTO 2026'!$S$45</f>
        <v>0</v>
      </c>
      <c r="M50" s="3">
        <f>'REALIZADO 2025'!M51*'PREVISTO 2026'!$S$45</f>
        <v>0</v>
      </c>
      <c r="N50" s="3">
        <f>'REALIZADO 2025'!N51*'PREVISTO 2026'!$S$45</f>
        <v>2153.1960000000004</v>
      </c>
      <c r="O50" s="3">
        <f>'REALIZADO 2025'!O51*'PREVISTO 2026'!$S$45</f>
        <v>51.062400000000004</v>
      </c>
      <c r="P50" s="25">
        <f t="shared" si="10"/>
        <v>2204.2584000000002</v>
      </c>
      <c r="Q50" s="25">
        <f t="shared" si="2"/>
        <v>183.68820000000002</v>
      </c>
      <c r="R50" s="5"/>
    </row>
    <row r="51" spans="1:24" ht="12">
      <c r="A51" s="69" t="s">
        <v>42</v>
      </c>
      <c r="B51" s="69"/>
      <c r="C51" s="69"/>
      <c r="D51" s="3">
        <f>'REALIZADO 2025'!D52*'PREVISTO 2026'!$S$45</f>
        <v>3033.6120000000001</v>
      </c>
      <c r="E51" s="3">
        <f>'REALIZADO 2025'!E52*'PREVISTO 2026'!$S$45</f>
        <v>3616.2720000000004</v>
      </c>
      <c r="F51" s="3">
        <f>'REALIZADO 2025'!F52*'PREVISTO 2026'!$S$45</f>
        <v>1596.8879999999999</v>
      </c>
      <c r="G51" s="3">
        <f>'REALIZADO 2025'!G52*'PREVISTO 2026'!$S$45</f>
        <v>788.40000000000009</v>
      </c>
      <c r="H51" s="3">
        <f>'REALIZADO 2025'!H52*'PREVISTO 2026'!$S$45</f>
        <v>0</v>
      </c>
      <c r="I51" s="3">
        <f>'REALIZADO 2025'!I52*'PREVISTO 2026'!$S$45</f>
        <v>1690.0596</v>
      </c>
      <c r="J51" s="3">
        <f>'REALIZADO 2025'!J52*'PREVISTO 2026'!$S$45</f>
        <v>0</v>
      </c>
      <c r="K51" s="3">
        <f>'REALIZADO 2025'!K52*'PREVISTO 2026'!$S$45</f>
        <v>0</v>
      </c>
      <c r="L51" s="3">
        <f>'REALIZADO 2025'!L52*'PREVISTO 2026'!$S$45</f>
        <v>0</v>
      </c>
      <c r="M51" s="3">
        <f>'REALIZADO 2025'!M52*'PREVISTO 2026'!$S$45</f>
        <v>571.19040000000007</v>
      </c>
      <c r="N51" s="3">
        <f>'REALIZADO 2025'!N52*'PREVISTO 2026'!$S$45</f>
        <v>0</v>
      </c>
      <c r="O51" s="3">
        <f>'REALIZADO 2025'!O52*'PREVISTO 2026'!$S$45</f>
        <v>0</v>
      </c>
      <c r="P51" s="25">
        <f t="shared" si="10"/>
        <v>11296.422</v>
      </c>
      <c r="Q51" s="25">
        <f t="shared" si="2"/>
        <v>941.36850000000004</v>
      </c>
      <c r="R51" s="5"/>
    </row>
    <row r="52" spans="1:24" ht="12">
      <c r="A52" s="69" t="s">
        <v>43</v>
      </c>
      <c r="B52" s="69"/>
      <c r="C52" s="69"/>
      <c r="D52" s="3">
        <f>'REALIZADO 2025'!D53*'PREVISTO 2026'!$S$45</f>
        <v>319.59360000000004</v>
      </c>
      <c r="E52" s="3">
        <f>'REALIZADO 2025'!E53*'PREVISTO 2026'!$S$45</f>
        <v>319.59360000000004</v>
      </c>
      <c r="F52" s="3">
        <f>'REALIZADO 2025'!F53*'PREVISTO 2026'!$S$45</f>
        <v>319.59360000000004</v>
      </c>
      <c r="G52" s="3">
        <f>'REALIZADO 2025'!G53*'PREVISTO 2026'!$S$45</f>
        <v>319.59360000000004</v>
      </c>
      <c r="H52" s="3">
        <f>'REALIZADO 2025'!H53*'PREVISTO 2026'!$S$45</f>
        <v>332.80200000000002</v>
      </c>
      <c r="I52" s="3">
        <f>'REALIZADO 2025'!I53*'PREVISTO 2026'!$S$45</f>
        <v>332.80200000000002</v>
      </c>
      <c r="J52" s="3">
        <f>'REALIZADO 2025'!J53*'PREVISTO 2026'!$S$45</f>
        <v>332.80200000000002</v>
      </c>
      <c r="K52" s="3">
        <f>'REALIZADO 2025'!K53*'PREVISTO 2026'!$S$45</f>
        <v>332.80200000000002</v>
      </c>
      <c r="L52" s="3">
        <f>'REALIZADO 2025'!L53*'PREVISTO 2026'!$S$45</f>
        <v>332.80200000000002</v>
      </c>
      <c r="M52" s="3">
        <f>'REALIZADO 2025'!M53*'PREVISTO 2026'!$S$45</f>
        <v>332.80200000000002</v>
      </c>
      <c r="N52" s="3">
        <f>'REALIZADO 2025'!N53*'PREVISTO 2026'!$S$45</f>
        <v>534.53520000000003</v>
      </c>
      <c r="O52" s="3">
        <f>'REALIZADO 2025'!O53*'PREVISTO 2026'!$S$45</f>
        <v>534.53520000000003</v>
      </c>
      <c r="P52" s="25">
        <f t="shared" si="10"/>
        <v>4344.256800000001</v>
      </c>
      <c r="Q52" s="25">
        <f t="shared" si="2"/>
        <v>362.02140000000009</v>
      </c>
      <c r="R52" s="5"/>
    </row>
    <row r="53" spans="1:24" ht="12">
      <c r="A53" s="69" t="s">
        <v>44</v>
      </c>
      <c r="B53" s="69"/>
      <c r="C53" s="69"/>
      <c r="D53" s="3">
        <f>'REALIZADO 2025'!D54*'PREVISTO 2026'!$S$45</f>
        <v>324</v>
      </c>
      <c r="E53" s="3">
        <f>'REALIZADO 2025'!E54*'PREVISTO 2026'!$S$45</f>
        <v>324</v>
      </c>
      <c r="F53" s="3">
        <f>'REALIZADO 2025'!F54*'PREVISTO 2026'!$S$45</f>
        <v>367.20000000000005</v>
      </c>
      <c r="G53" s="3">
        <f>'REALIZADO 2025'!G54*'PREVISTO 2026'!$S$45</f>
        <v>345.6</v>
      </c>
      <c r="H53" s="3">
        <f>'REALIZADO 2025'!H54*'PREVISTO 2026'!$S$45</f>
        <v>345.6</v>
      </c>
      <c r="I53" s="3">
        <f>'REALIZADO 2025'!I54*'PREVISTO 2026'!$S$45</f>
        <v>324</v>
      </c>
      <c r="J53" s="3">
        <f>'REALIZADO 2025'!J54*'PREVISTO 2026'!$S$45</f>
        <v>302.40000000000003</v>
      </c>
      <c r="K53" s="3">
        <f>'REALIZADO 2025'!K54*'PREVISTO 2026'!$S$45</f>
        <v>324</v>
      </c>
      <c r="L53" s="3">
        <f>'REALIZADO 2025'!L54*'PREVISTO 2026'!$S$45</f>
        <v>324</v>
      </c>
      <c r="M53" s="3">
        <f>'REALIZADO 2025'!M54*'PREVISTO 2026'!$S$45</f>
        <v>324</v>
      </c>
      <c r="N53" s="3">
        <f>'REALIZADO 2025'!N54*'PREVISTO 2026'!$S$45</f>
        <v>0</v>
      </c>
      <c r="O53" s="3">
        <f>'REALIZADO 2025'!O54*'PREVISTO 2026'!$S$45</f>
        <v>0</v>
      </c>
      <c r="P53" s="25">
        <f t="shared" si="10"/>
        <v>3304.8</v>
      </c>
      <c r="Q53" s="25">
        <f t="shared" si="2"/>
        <v>275.40000000000003</v>
      </c>
      <c r="R53" s="5"/>
    </row>
    <row r="54" spans="1:24" ht="12">
      <c r="A54" s="69" t="s">
        <v>45</v>
      </c>
      <c r="B54" s="69"/>
      <c r="C54" s="69"/>
      <c r="D54" s="3">
        <f>'REALIZADO 2025'!D55*'PREVISTO 2026'!$S$45</f>
        <v>0</v>
      </c>
      <c r="E54" s="3">
        <f>'REALIZADO 2025'!E55*'PREVISTO 2026'!$S$45</f>
        <v>0</v>
      </c>
      <c r="F54" s="3">
        <f>'REALIZADO 2025'!F55*'PREVISTO 2026'!$S$45</f>
        <v>0</v>
      </c>
      <c r="G54" s="3">
        <f>'REALIZADO 2025'!G55*'PREVISTO 2026'!$S$45</f>
        <v>0</v>
      </c>
      <c r="H54" s="3">
        <f>'REALIZADO 2025'!H55*'PREVISTO 2026'!$S$45</f>
        <v>0</v>
      </c>
      <c r="I54" s="3">
        <f>'REALIZADO 2025'!I55*'PREVISTO 2026'!$S$45</f>
        <v>0</v>
      </c>
      <c r="J54" s="3">
        <f>'REALIZADO 2025'!J55*'PREVISTO 2026'!$S$45</f>
        <v>0</v>
      </c>
      <c r="K54" s="3">
        <f>'REALIZADO 2025'!K55*'PREVISTO 2026'!$S$45</f>
        <v>0</v>
      </c>
      <c r="L54" s="3">
        <f>'REALIZADO 2025'!L55*'PREVISTO 2026'!$S$45</f>
        <v>0</v>
      </c>
      <c r="M54" s="3">
        <f>'REALIZADO 2025'!M55*'PREVISTO 2026'!$S$45</f>
        <v>0</v>
      </c>
      <c r="N54" s="3">
        <f>'REALIZADO 2025'!N55*'PREVISTO 2026'!$S$45</f>
        <v>345.6</v>
      </c>
      <c r="O54" s="3">
        <f>'REALIZADO 2025'!O55*'PREVISTO 2026'!$S$45</f>
        <v>367.20000000000005</v>
      </c>
      <c r="P54" s="25">
        <f t="shared" si="10"/>
        <v>712.80000000000007</v>
      </c>
      <c r="Q54" s="25">
        <f t="shared" si="2"/>
        <v>59.400000000000006</v>
      </c>
      <c r="R54" s="5"/>
    </row>
    <row r="55" spans="1:24" ht="12">
      <c r="A55" s="69" t="s">
        <v>46</v>
      </c>
      <c r="B55" s="69"/>
      <c r="C55" s="69"/>
      <c r="D55" s="3">
        <f>'REALIZADO 2025'!D57*'PREVISTO 2026'!$S$45</f>
        <v>26005.406400000003</v>
      </c>
      <c r="E55" s="3">
        <f>'REALIZADO 2025'!E57*'PREVISTO 2026'!$S$45</f>
        <v>25600.212000000003</v>
      </c>
      <c r="F55" s="3">
        <f>'REALIZADO 2025'!F57*'PREVISTO 2026'!$S$45</f>
        <v>24219.0108</v>
      </c>
      <c r="G55" s="3">
        <f>'REALIZADO 2025'!G57*'PREVISTO 2026'!$S$45</f>
        <v>24259.932000000004</v>
      </c>
      <c r="H55" s="3">
        <f>'REALIZADO 2025'!H57*'PREVISTO 2026'!$S$45</f>
        <v>26176.942800000001</v>
      </c>
      <c r="I55" s="3">
        <f>'REALIZADO 2025'!I57*'PREVISTO 2026'!$S$45</f>
        <v>27497.815200000001</v>
      </c>
      <c r="J55" s="3">
        <f>'REALIZADO 2025'!J57*'PREVISTO 2026'!$S$45</f>
        <v>29137.2984</v>
      </c>
      <c r="K55" s="3">
        <f>'REALIZADO 2025'!K57*'PREVISTO 2026'!$S$45</f>
        <v>28422.446400000004</v>
      </c>
      <c r="L55" s="3">
        <f>'REALIZADO 2025'!L57*'PREVISTO 2026'!$S$45</f>
        <v>26628.6636</v>
      </c>
      <c r="M55" s="3">
        <f>'REALIZADO 2025'!M57*'PREVISTO 2026'!$S$45</f>
        <v>27083.484</v>
      </c>
      <c r="N55" s="3">
        <f>'REALIZADO 2025'!N57*'PREVISTO 2026'!$S$45</f>
        <v>27159.613200000003</v>
      </c>
      <c r="O55" s="3">
        <f>'REALIZADO 2025'!O57*'PREVISTO 2026'!$S$45</f>
        <v>29389.878000000001</v>
      </c>
      <c r="P55" s="25">
        <f t="shared" si="10"/>
        <v>321580.70280000009</v>
      </c>
      <c r="Q55" s="25">
        <f t="shared" si="2"/>
        <v>26798.391900000006</v>
      </c>
      <c r="R55" s="5"/>
    </row>
    <row r="56" spans="1:24" ht="12">
      <c r="A56" s="69" t="s">
        <v>47</v>
      </c>
      <c r="B56" s="69"/>
      <c r="C56" s="69"/>
      <c r="D56" s="3">
        <f>'REALIZADO 2025'!D58*'PREVISTO 2026'!$S$45</f>
        <v>5940.0108000000009</v>
      </c>
      <c r="E56" s="3">
        <f>'REALIZADO 2025'!E58*'PREVISTO 2026'!$S$45</f>
        <v>6738.3576000000003</v>
      </c>
      <c r="F56" s="3">
        <f>'REALIZADO 2025'!F58*'PREVISTO 2026'!$S$45</f>
        <v>4368.8159999999998</v>
      </c>
      <c r="G56" s="3">
        <f>'REALIZADO 2025'!G58*'PREVISTO 2026'!$S$45</f>
        <v>4458.0024000000003</v>
      </c>
      <c r="H56" s="3">
        <f>'REALIZADO 2025'!H58*'PREVISTO 2026'!$S$45</f>
        <v>4821.5196000000005</v>
      </c>
      <c r="I56" s="3">
        <f>'REALIZADO 2025'!I58*'PREVISTO 2026'!$S$45</f>
        <v>4989.3083999999999</v>
      </c>
      <c r="J56" s="3">
        <f>'REALIZADO 2025'!J58*'PREVISTO 2026'!$S$45</f>
        <v>5267.2031999999999</v>
      </c>
      <c r="K56" s="3">
        <f>'REALIZADO 2025'!K58*'PREVISTO 2026'!$S$45</f>
        <v>5605.5024000000003</v>
      </c>
      <c r="L56" s="3">
        <f>'REALIZADO 2025'!L58*'PREVISTO 2026'!$S$45</f>
        <v>5774.9868000000006</v>
      </c>
      <c r="M56" s="3">
        <f>'REALIZADO 2025'!M58*'PREVISTO 2026'!$S$45</f>
        <v>5973.220800000001</v>
      </c>
      <c r="N56" s="3">
        <f>'REALIZADO 2025'!N58*'PREVISTO 2026'!$S$45</f>
        <v>5566.5252</v>
      </c>
      <c r="O56" s="3">
        <f>'REALIZADO 2025'!O58*'PREVISTO 2026'!$S$45</f>
        <v>6208.4880000000012</v>
      </c>
      <c r="P56" s="25">
        <f t="shared" si="10"/>
        <v>65711.941200000001</v>
      </c>
      <c r="Q56" s="25">
        <f t="shared" si="2"/>
        <v>5475.9951000000001</v>
      </c>
      <c r="R56" s="5"/>
    </row>
    <row r="57" spans="1:24" ht="12">
      <c r="A57" s="69" t="s">
        <v>48</v>
      </c>
      <c r="B57" s="69"/>
      <c r="C57" s="69"/>
      <c r="D57" s="3">
        <f>'REALIZADO 2025'!D59*'PREVISTO 2026'!$S$45</f>
        <v>0</v>
      </c>
      <c r="E57" s="3">
        <f>'REALIZADO 2025'!E59*'PREVISTO 2026'!$S$45</f>
        <v>0</v>
      </c>
      <c r="F57" s="3">
        <f>'REALIZADO 2025'!F59*'PREVISTO 2026'!$S$45</f>
        <v>6453.5291999999999</v>
      </c>
      <c r="G57" s="3">
        <f>'REALIZADO 2025'!G59*'PREVISTO 2026'!$S$45</f>
        <v>9554.8356000000003</v>
      </c>
      <c r="H57" s="3">
        <f>'REALIZADO 2025'!H59*'PREVISTO 2026'!$S$45</f>
        <v>0</v>
      </c>
      <c r="I57" s="3">
        <f>'REALIZADO 2025'!I59*'PREVISTO 2026'!$S$45</f>
        <v>14145.570000000002</v>
      </c>
      <c r="J57" s="3">
        <f>'REALIZADO 2025'!J59*'PREVISTO 2026'!$S$45</f>
        <v>18469.641600000003</v>
      </c>
      <c r="K57" s="3">
        <f>'REALIZADO 2025'!K59*'PREVISTO 2026'!$S$45</f>
        <v>0</v>
      </c>
      <c r="L57" s="3">
        <f>'REALIZADO 2025'!L59*'PREVISTO 2026'!$S$45</f>
        <v>4852.5804000000007</v>
      </c>
      <c r="M57" s="3">
        <f>'REALIZADO 2025'!M59*'PREVISTO 2026'!$S$45</f>
        <v>3890.0520000000001</v>
      </c>
      <c r="N57" s="3">
        <f>'REALIZADO 2025'!N59*'PREVISTO 2026'!$S$45</f>
        <v>0</v>
      </c>
      <c r="O57" s="3">
        <f>'REALIZADO 2025'!O59*'PREVISTO 2026'!$S$45</f>
        <v>0</v>
      </c>
      <c r="P57" s="25">
        <f t="shared" si="10"/>
        <v>57366.208800000008</v>
      </c>
      <c r="Q57" s="25">
        <f t="shared" si="2"/>
        <v>4780.5174000000006</v>
      </c>
      <c r="R57" s="5"/>
    </row>
    <row r="58" spans="1:24" ht="12">
      <c r="A58" s="69" t="s">
        <v>49</v>
      </c>
      <c r="B58" s="69"/>
      <c r="C58" s="69"/>
      <c r="D58" s="3">
        <f>'REALIZADO 2025'!D60*'PREVISTO 2026'!$S$45</f>
        <v>41884.214400000004</v>
      </c>
      <c r="E58" s="3">
        <f>'REALIZADO 2025'!E60*'PREVISTO 2026'!$S$45</f>
        <v>0</v>
      </c>
      <c r="F58" s="3">
        <f>'REALIZADO 2025'!F60*'PREVISTO 2026'!$S$45</f>
        <v>0</v>
      </c>
      <c r="G58" s="3">
        <f>'REALIZADO 2025'!G60*'PREVISTO 2026'!$S$45</f>
        <v>0</v>
      </c>
      <c r="H58" s="3">
        <f>'REALIZADO 2025'!H60*'PREVISTO 2026'!$S$45</f>
        <v>0</v>
      </c>
      <c r="I58" s="3">
        <f>'REALIZADO 2025'!I60*'PREVISTO 2026'!$S$45</f>
        <v>0</v>
      </c>
      <c r="J58" s="3">
        <f>'REALIZADO 2025'!J60*'PREVISTO 2026'!$S$45</f>
        <v>0</v>
      </c>
      <c r="K58" s="3">
        <f>'REALIZADO 2025'!K60*'PREVISTO 2026'!$S$45</f>
        <v>0</v>
      </c>
      <c r="L58" s="3">
        <f>'REALIZADO 2025'!L60*'PREVISTO 2026'!$S$45</f>
        <v>9835.5600000000013</v>
      </c>
      <c r="M58" s="3">
        <f>'REALIZADO 2025'!M60*'PREVISTO 2026'!$S$45</f>
        <v>0</v>
      </c>
      <c r="N58" s="3">
        <f>'REALIZADO 2025'!N60*'PREVISTO 2026'!$S$45</f>
        <v>0</v>
      </c>
      <c r="O58" s="3">
        <f>'REALIZADO 2025'!O60*'PREVISTO 2026'!$S$45</f>
        <v>20089.080000000002</v>
      </c>
      <c r="P58" s="25">
        <f t="shared" si="10"/>
        <v>71808.854400000011</v>
      </c>
      <c r="Q58" s="25">
        <f t="shared" si="2"/>
        <v>5984.0712000000012</v>
      </c>
      <c r="R58" s="5"/>
    </row>
    <row r="59" spans="1:24" ht="12">
      <c r="A59" s="69" t="s">
        <v>50</v>
      </c>
      <c r="B59" s="69"/>
      <c r="C59" s="69"/>
      <c r="D59" s="3">
        <f>'REALIZADO 2025'!D61*'PREVISTO 2026'!$S$45</f>
        <v>0</v>
      </c>
      <c r="E59" s="3">
        <f>'REALIZADO 2025'!E61*'PREVISTO 2026'!$S$45</f>
        <v>7352.1864000000005</v>
      </c>
      <c r="F59" s="3">
        <f>'REALIZADO 2025'!F61*'PREVISTO 2026'!$S$45</f>
        <v>0</v>
      </c>
      <c r="G59" s="3">
        <f>'REALIZADO 2025'!G61*'PREVISTO 2026'!$S$45</f>
        <v>13862.4804</v>
      </c>
      <c r="H59" s="3">
        <f>'REALIZADO 2025'!H61*'PREVISTO 2026'!$S$45</f>
        <v>0</v>
      </c>
      <c r="I59" s="3">
        <f>'REALIZADO 2025'!I61*'PREVISTO 2026'!$S$45</f>
        <v>0</v>
      </c>
      <c r="J59" s="3">
        <f>'REALIZADO 2025'!J61*'PREVISTO 2026'!$S$45</f>
        <v>0</v>
      </c>
      <c r="K59" s="3">
        <f>'REALIZADO 2025'!K61*'PREVISTO 2026'!$S$45</f>
        <v>0</v>
      </c>
      <c r="L59" s="3">
        <f>'REALIZADO 2025'!L61*'PREVISTO 2026'!$S$45</f>
        <v>1003.32</v>
      </c>
      <c r="M59" s="3">
        <f>'REALIZADO 2025'!M61*'PREVISTO 2026'!$S$45</f>
        <v>0</v>
      </c>
      <c r="N59" s="3">
        <f>'REALIZADO 2025'!N61*'PREVISTO 2026'!$S$45</f>
        <v>658.80000000000007</v>
      </c>
      <c r="O59" s="3">
        <f>'REALIZADO 2025'!O61*'PREVISTO 2026'!$S$45</f>
        <v>1015.2</v>
      </c>
      <c r="P59" s="25">
        <v>90000</v>
      </c>
      <c r="Q59" s="25">
        <f t="shared" si="2"/>
        <v>7500</v>
      </c>
      <c r="R59" s="5"/>
    </row>
    <row r="60" spans="1:24" ht="12">
      <c r="A60" s="69" t="s">
        <v>51</v>
      </c>
      <c r="B60" s="69"/>
      <c r="C60" s="69"/>
      <c r="D60" s="3">
        <f>'REALIZADO 2025'!D62*'PREVISTO 2026'!$S$45</f>
        <v>816.48</v>
      </c>
      <c r="E60" s="3">
        <f>'REALIZADO 2025'!E62*'PREVISTO 2026'!$S$45</f>
        <v>1516.3200000000002</v>
      </c>
      <c r="F60" s="3">
        <f>'REALIZADO 2025'!F62*'PREVISTO 2026'!$S$45</f>
        <v>1856.5200000000002</v>
      </c>
      <c r="G60" s="3">
        <f>'REALIZADO 2025'!G62*'PREVISTO 2026'!$S$45</f>
        <v>106.92</v>
      </c>
      <c r="H60" s="3">
        <f>'REALIZADO 2025'!H62*'PREVISTO 2026'!$S$45</f>
        <v>1487.16</v>
      </c>
      <c r="I60" s="3">
        <f>'REALIZADO 2025'!I62*'PREVISTO 2026'!$S$45</f>
        <v>1653.048</v>
      </c>
      <c r="J60" s="3">
        <f>'REALIZADO 2025'!J62*'PREVISTO 2026'!$S$45</f>
        <v>1341.3600000000001</v>
      </c>
      <c r="K60" s="3">
        <f>'REALIZADO 2025'!K62*'PREVISTO 2026'!$S$45</f>
        <v>1253.8800000000001</v>
      </c>
      <c r="L60" s="3">
        <f>'REALIZADO 2025'!L62*'PREVISTO 2026'!$S$45</f>
        <v>1040.04</v>
      </c>
      <c r="M60" s="3">
        <f>'REALIZADO 2025'!M62*'PREVISTO 2026'!$S$45</f>
        <v>1205.28</v>
      </c>
      <c r="N60" s="3">
        <f>'REALIZADO 2025'!N62*'PREVISTO 2026'!$S$45</f>
        <v>0</v>
      </c>
      <c r="O60" s="3">
        <f>'REALIZADO 2025'!O62*'PREVISTO 2026'!$S$45</f>
        <v>0</v>
      </c>
      <c r="P60" s="25">
        <f>SUM(D60:O60)</f>
        <v>12277.008000000003</v>
      </c>
      <c r="Q60" s="25">
        <f t="shared" si="2"/>
        <v>1023.0840000000003</v>
      </c>
      <c r="R60" s="5"/>
    </row>
    <row r="61" spans="1:24" ht="12.75" customHeight="1">
      <c r="A61" s="78" t="s">
        <v>52</v>
      </c>
      <c r="B61" s="78"/>
      <c r="C61" s="78"/>
      <c r="D61" s="7">
        <f>D62+D79+D92+D96</f>
        <v>49045.706050000001</v>
      </c>
      <c r="E61" s="7">
        <f>E62+E79+E92+E96</f>
        <v>40170.980849999993</v>
      </c>
      <c r="F61" s="7">
        <f t="shared" ref="F61:O61" si="11">F62+F79+F92+F96</f>
        <v>45046.553749999999</v>
      </c>
      <c r="G61" s="7">
        <f t="shared" si="11"/>
        <v>58247.70435</v>
      </c>
      <c r="H61" s="7">
        <f t="shared" si="11"/>
        <v>77403.463499999998</v>
      </c>
      <c r="I61" s="7">
        <f t="shared" si="11"/>
        <v>83620.586500000005</v>
      </c>
      <c r="J61" s="7">
        <f t="shared" si="11"/>
        <v>58878.497699999993</v>
      </c>
      <c r="K61" s="7">
        <f t="shared" si="11"/>
        <v>51458.297550000003</v>
      </c>
      <c r="L61" s="7">
        <f t="shared" si="11"/>
        <v>51905.98599999999</v>
      </c>
      <c r="M61" s="7">
        <f t="shared" si="11"/>
        <v>74456.521699999998</v>
      </c>
      <c r="N61" s="7">
        <f t="shared" si="11"/>
        <v>35404.401450000005</v>
      </c>
      <c r="O61" s="7">
        <f t="shared" si="11"/>
        <v>42897.511250000003</v>
      </c>
      <c r="P61" s="10">
        <f>P62+P79+P92+P96</f>
        <v>638498.6235499999</v>
      </c>
      <c r="Q61" s="27">
        <f>P61/12</f>
        <v>53208.218629166659</v>
      </c>
      <c r="R61" s="15" t="s">
        <v>18</v>
      </c>
      <c r="S61" s="16">
        <v>1.0449999999999999</v>
      </c>
      <c r="T61" s="17">
        <v>4.4999999999999998E-2</v>
      </c>
      <c r="U61" s="78"/>
      <c r="V61" s="78"/>
      <c r="W61" s="78"/>
      <c r="X61" s="7"/>
    </row>
    <row r="62" spans="1:24" ht="12" customHeight="1">
      <c r="A62" s="74" t="s">
        <v>53</v>
      </c>
      <c r="B62" s="74"/>
      <c r="C62" s="74"/>
      <c r="D62" s="8">
        <f>SUM(D63:D72)</f>
        <v>11923.41865</v>
      </c>
      <c r="E62" s="8">
        <f>SUM(E63:E72)</f>
        <v>6239.1620499999999</v>
      </c>
      <c r="F62" s="8">
        <f t="shared" ref="F62:O62" si="12">SUM(F63:F72)</f>
        <v>4612.3374000000003</v>
      </c>
      <c r="G62" s="8">
        <f t="shared" si="12"/>
        <v>14655.2263</v>
      </c>
      <c r="H62" s="8">
        <f t="shared" si="12"/>
        <v>55507.871099999989</v>
      </c>
      <c r="I62" s="8">
        <f t="shared" si="12"/>
        <v>60966.428599999999</v>
      </c>
      <c r="J62" s="8">
        <f t="shared" si="12"/>
        <v>33802.625449999992</v>
      </c>
      <c r="K62" s="8">
        <f t="shared" si="12"/>
        <v>22886.377799999998</v>
      </c>
      <c r="L62" s="8">
        <f t="shared" si="12"/>
        <v>18937.604949999997</v>
      </c>
      <c r="M62" s="8">
        <f t="shared" si="12"/>
        <v>43889.028149999998</v>
      </c>
      <c r="N62" s="8">
        <f t="shared" si="12"/>
        <v>12986.591200000001</v>
      </c>
      <c r="O62" s="8">
        <f t="shared" si="12"/>
        <v>25496.066749999998</v>
      </c>
      <c r="P62" s="9">
        <f>SUM(P63:P78)</f>
        <v>332522.30804999999</v>
      </c>
      <c r="Q62" s="28">
        <f>P62/12</f>
        <v>27710.192337500001</v>
      </c>
      <c r="R62" s="5"/>
      <c r="T62" s="58"/>
    </row>
    <row r="63" spans="1:24" ht="12">
      <c r="A63" s="69" t="s">
        <v>54</v>
      </c>
      <c r="B63" s="69"/>
      <c r="C63" s="69"/>
      <c r="D63" s="3">
        <f>'REALIZADO 2025'!D65*'PREVISTO 2026'!$S$61</f>
        <v>1550.68595</v>
      </c>
      <c r="E63" s="3">
        <f>'REALIZADO 2025'!E65*'PREVISTO 2026'!$S$61</f>
        <v>470.24999999999994</v>
      </c>
      <c r="F63" s="3">
        <f>'REALIZADO 2025'!F65*'PREVISTO 2026'!$S$61</f>
        <v>1302.07</v>
      </c>
      <c r="G63" s="3">
        <f>'REALIZADO 2025'!G65*'PREVISTO 2026'!$S$61</f>
        <v>767.64654999999993</v>
      </c>
      <c r="H63" s="3">
        <f>'REALIZADO 2025'!H65*'PREVISTO 2026'!$S$61</f>
        <v>8109.0954999999994</v>
      </c>
      <c r="I63" s="3">
        <f>'REALIZADO 2025'!I65*'PREVISTO 2026'!$S$61</f>
        <v>9680.8799999999992</v>
      </c>
      <c r="J63" s="3">
        <f>'REALIZADO 2025'!J65*'PREVISTO 2026'!$S$61</f>
        <v>1657.37</v>
      </c>
      <c r="K63" s="3">
        <f>'REALIZADO 2025'!K65*'PREVISTO 2026'!$S$61</f>
        <v>5182.4684999999999</v>
      </c>
      <c r="L63" s="3">
        <f>'REALIZADO 2025'!L65*'PREVISTO 2026'!$S$61</f>
        <v>326.03999999999996</v>
      </c>
      <c r="M63" s="3">
        <f>'REALIZADO 2025'!M65*'PREVISTO 2026'!$S$61</f>
        <v>1660.93345</v>
      </c>
      <c r="N63" s="3">
        <f>'REALIZADO 2025'!N65*'PREVISTO 2026'!$S$61</f>
        <v>1413.2161999999998</v>
      </c>
      <c r="O63" s="3">
        <f>'REALIZADO 2025'!O65*'PREVISTO 2026'!$S$61</f>
        <v>1478.9467</v>
      </c>
      <c r="P63" s="4">
        <v>63600</v>
      </c>
      <c r="Q63" s="25">
        <f t="shared" si="2"/>
        <v>5300</v>
      </c>
      <c r="R63" s="5"/>
      <c r="T63" s="58">
        <f>207000*1.045</f>
        <v>216314.99999999997</v>
      </c>
      <c r="V63" s="1">
        <v>20000</v>
      </c>
    </row>
    <row r="64" spans="1:24" ht="12">
      <c r="A64" s="91" t="s">
        <v>147</v>
      </c>
      <c r="B64" s="91"/>
      <c r="C64" s="91"/>
      <c r="D64" s="56">
        <f>'REALIZADO 2025'!D66*'PREVISTO 2026'!$S$61</f>
        <v>150.42774999999997</v>
      </c>
      <c r="E64" s="56">
        <f>'REALIZADO 2025'!E66*'PREVISTO 2026'!$S$61</f>
        <v>0</v>
      </c>
      <c r="F64" s="56">
        <f>'REALIZADO 2025'!F66*'PREVISTO 2026'!$S$61</f>
        <v>0</v>
      </c>
      <c r="G64" s="56">
        <f>'REALIZADO 2025'!G66*'PREVISTO 2026'!$S$61</f>
        <v>9454.9928</v>
      </c>
      <c r="H64" s="56">
        <f>'REALIZADO 2025'!H66*'PREVISTO 2026'!$S$61</f>
        <v>167.7225</v>
      </c>
      <c r="I64" s="56">
        <f>'REALIZADO 2025'!I66*'PREVISTO 2026'!$S$61</f>
        <v>8494.1571000000004</v>
      </c>
      <c r="J64" s="56">
        <f>'REALIZADO 2025'!J66*'PREVISTO 2026'!$S$61</f>
        <v>1110.1243999999999</v>
      </c>
      <c r="K64" s="56">
        <f>'REALIZADO 2025'!K66*'PREVISTO 2026'!$S$61</f>
        <v>6220.9999499999994</v>
      </c>
      <c r="L64" s="56">
        <f>'REALIZADO 2025'!L66*'PREVISTO 2026'!$S$61</f>
        <v>623.32159999999999</v>
      </c>
      <c r="M64" s="56">
        <f>'REALIZADO 2025'!M66*'PREVISTO 2026'!$S$61</f>
        <v>648.91364999999996</v>
      </c>
      <c r="N64" s="56">
        <f>'REALIZADO 2025'!N66*'PREVISTO 2026'!$S$61</f>
        <v>0</v>
      </c>
      <c r="O64" s="56">
        <f>'REALIZADO 2025'!O66*'PREVISTO 2026'!$S$61</f>
        <v>609.95605</v>
      </c>
      <c r="P64" s="49"/>
      <c r="Q64" s="57">
        <f t="shared" si="2"/>
        <v>0</v>
      </c>
      <c r="R64" s="5"/>
      <c r="T64" s="58">
        <f>112000*1.045</f>
        <v>117039.99999999999</v>
      </c>
      <c r="V64" s="1">
        <v>20000</v>
      </c>
    </row>
    <row r="65" spans="1:22" ht="12">
      <c r="A65" s="69" t="s">
        <v>55</v>
      </c>
      <c r="B65" s="69"/>
      <c r="C65" s="69"/>
      <c r="D65" s="3">
        <f>'REALIZADO 2025'!D67*'PREVISTO 2026'!$S$61</f>
        <v>0</v>
      </c>
      <c r="E65" s="3">
        <f>'REALIZADO 2025'!E67*'PREVISTO 2026'!$S$61</f>
        <v>0</v>
      </c>
      <c r="F65" s="3">
        <f>'REALIZADO 2025'!F67*'PREVISTO 2026'!$S$61</f>
        <v>0</v>
      </c>
      <c r="G65" s="3">
        <f>'REALIZADO 2025'!G67*'PREVISTO 2026'!$S$61</f>
        <v>0</v>
      </c>
      <c r="H65" s="3">
        <f>'REALIZADO 2025'!H67*'PREVISTO 2026'!$S$61</f>
        <v>0</v>
      </c>
      <c r="I65" s="3">
        <f>'REALIZADO 2025'!I67*'PREVISTO 2026'!$S$61</f>
        <v>468.99599999999998</v>
      </c>
      <c r="J65" s="3">
        <f>'REALIZADO 2025'!J67*'PREVISTO 2026'!$S$61</f>
        <v>0</v>
      </c>
      <c r="K65" s="3">
        <f>'REALIZADO 2025'!K67*'PREVISTO 2026'!$S$61</f>
        <v>0</v>
      </c>
      <c r="L65" s="3">
        <f>'REALIZADO 2025'!L67*'PREVISTO 2026'!$S$61</f>
        <v>0</v>
      </c>
      <c r="M65" s="3">
        <f>'REALIZADO 2025'!M67*'PREVISTO 2026'!$S$61</f>
        <v>0</v>
      </c>
      <c r="N65" s="3">
        <f>'REALIZADO 2025'!N67*'PREVISTO 2026'!$S$61</f>
        <v>0</v>
      </c>
      <c r="O65" s="3">
        <f>'REALIZADO 2025'!O67*'PREVISTO 2026'!$S$61</f>
        <v>1730.1228999999998</v>
      </c>
      <c r="P65" s="4">
        <f>SUM(D65:O65)</f>
        <v>2199.1188999999999</v>
      </c>
      <c r="Q65" s="25">
        <f t="shared" si="2"/>
        <v>183.25990833333333</v>
      </c>
      <c r="R65" s="5"/>
      <c r="T65" s="58">
        <f>T63+T64</f>
        <v>333354.99999999994</v>
      </c>
      <c r="V65" s="1">
        <v>2199.1188999999999</v>
      </c>
    </row>
    <row r="66" spans="1:22" ht="12">
      <c r="A66" s="69" t="s">
        <v>56</v>
      </c>
      <c r="B66" s="69"/>
      <c r="C66" s="69"/>
      <c r="D66" s="3">
        <f>'REALIZADO 2025'!D68*'PREVISTO 2026'!$S$61</f>
        <v>3193.8857499999995</v>
      </c>
      <c r="E66" s="3">
        <f>'REALIZADO 2025'!E68*'PREVISTO 2026'!$S$61</f>
        <v>491.15</v>
      </c>
      <c r="F66" s="3">
        <f>'REALIZADO 2025'!F68*'PREVISTO 2026'!$S$61</f>
        <v>778.52499999999998</v>
      </c>
      <c r="G66" s="3">
        <f>'REALIZADO 2025'!G68*'PREVISTO 2026'!$S$61</f>
        <v>1744.0527499999998</v>
      </c>
      <c r="H66" s="3">
        <f>'REALIZADO 2025'!H68*'PREVISTO 2026'!$S$61</f>
        <v>39798.062149999991</v>
      </c>
      <c r="I66" s="3">
        <f>'REALIZADO 2025'!I68*'PREVISTO 2026'!$S$61</f>
        <v>33495.207349999997</v>
      </c>
      <c r="J66" s="3">
        <f>'REALIZADO 2025'!J68*'PREVISTO 2026'!$S$61</f>
        <v>22087.861949999999</v>
      </c>
      <c r="K66" s="3">
        <f>'REALIZADO 2025'!K68*'PREVISTO 2026'!$S$61</f>
        <v>5523.6296499999999</v>
      </c>
      <c r="L66" s="3">
        <f>'REALIZADO 2025'!L68*'PREVISTO 2026'!$S$61</f>
        <v>4473.3732999999993</v>
      </c>
      <c r="M66" s="3">
        <f>'REALIZADO 2025'!M68*'PREVISTO 2026'!$S$61</f>
        <v>26085.613949999999</v>
      </c>
      <c r="N66" s="3">
        <f>'REALIZADO 2025'!N68*'PREVISTO 2026'!$S$61</f>
        <v>263.86249999999995</v>
      </c>
      <c r="O66" s="3">
        <f>'REALIZADO 2025'!O68*'PREVISTO 2026'!$S$61</f>
        <v>8769.3787499999999</v>
      </c>
      <c r="P66" s="4">
        <v>24000</v>
      </c>
      <c r="Q66" s="25">
        <f t="shared" ref="Q66:Q133" si="13">P66/12</f>
        <v>2000</v>
      </c>
      <c r="R66" s="5"/>
      <c r="T66" s="58">
        <f>T65-P62</f>
        <v>832.69194999994943</v>
      </c>
      <c r="V66" s="1">
        <v>25000</v>
      </c>
    </row>
    <row r="67" spans="1:22" ht="12">
      <c r="A67" s="69" t="s">
        <v>57</v>
      </c>
      <c r="B67" s="69"/>
      <c r="C67" s="69"/>
      <c r="D67" s="3">
        <f>'REALIZADO 2025'!D69*'PREVISTO 2026'!$S$61</f>
        <v>610.80250000000001</v>
      </c>
      <c r="E67" s="3">
        <f>'REALIZADO 2025'!E69*'PREVISTO 2026'!$S$61</f>
        <v>485.03674999999993</v>
      </c>
      <c r="F67" s="3">
        <f>'REALIZADO 2025'!F69*'PREVISTO 2026'!$S$61</f>
        <v>192.42629999999997</v>
      </c>
      <c r="G67" s="3">
        <f>'REALIZADO 2025'!G69*'PREVISTO 2026'!$S$61</f>
        <v>62.699999999999996</v>
      </c>
      <c r="H67" s="3">
        <f>'REALIZADO 2025'!H69*'PREVISTO 2026'!$S$61</f>
        <v>3135</v>
      </c>
      <c r="I67" s="3">
        <f>'REALIZADO 2025'!I69*'PREVISTO 2026'!$S$61</f>
        <v>5643</v>
      </c>
      <c r="J67" s="3">
        <f>'REALIZADO 2025'!J69*'PREVISTO 2026'!$S$61</f>
        <v>0</v>
      </c>
      <c r="K67" s="3">
        <f>'REALIZADO 2025'!K69*'PREVISTO 2026'!$S$61</f>
        <v>401.22774999999996</v>
      </c>
      <c r="L67" s="3">
        <f>'REALIZADO 2025'!L69*'PREVISTO 2026'!$S$61</f>
        <v>731.80304999999987</v>
      </c>
      <c r="M67" s="3">
        <f>'REALIZADO 2025'!M69*'PREVISTO 2026'!$S$61</f>
        <v>840.25315000000001</v>
      </c>
      <c r="N67" s="3">
        <f>'REALIZADO 2025'!N69*'PREVISTO 2026'!$S$61</f>
        <v>5714.4257500000003</v>
      </c>
      <c r="O67" s="3">
        <f>'REALIZADO 2025'!O69*'PREVISTO 2026'!$S$61</f>
        <v>6967.1194999999998</v>
      </c>
      <c r="P67" s="4">
        <v>16000</v>
      </c>
      <c r="Q67" s="25">
        <f t="shared" si="13"/>
        <v>1333.3333333333333</v>
      </c>
      <c r="R67" s="5"/>
      <c r="V67" s="1">
        <v>15000</v>
      </c>
    </row>
    <row r="68" spans="1:22" ht="12">
      <c r="A68" s="69" t="s">
        <v>58</v>
      </c>
      <c r="B68" s="69"/>
      <c r="C68" s="69"/>
      <c r="D68" s="3">
        <f>'REALIZADO 2025'!D70*'PREVISTO 2026'!$S$61</f>
        <v>554.51879999999994</v>
      </c>
      <c r="E68" s="3">
        <f>'REALIZADO 2025'!E70*'PREVISTO 2026'!$S$61</f>
        <v>0</v>
      </c>
      <c r="F68" s="3">
        <f>'REALIZADO 2025'!F70*'PREVISTO 2026'!$S$61</f>
        <v>0</v>
      </c>
      <c r="G68" s="3">
        <f>'REALIZADO 2025'!G70*'PREVISTO 2026'!$S$61</f>
        <v>0</v>
      </c>
      <c r="H68" s="3">
        <f>'REALIZADO 2025'!H70*'PREVISTO 2026'!$S$61</f>
        <v>0</v>
      </c>
      <c r="I68" s="3">
        <f>'REALIZADO 2025'!I70*'PREVISTO 2026'!$S$61</f>
        <v>0</v>
      </c>
      <c r="J68" s="3">
        <f>'REALIZADO 2025'!J70*'PREVISTO 2026'!$S$61</f>
        <v>0</v>
      </c>
      <c r="K68" s="3">
        <f>'REALIZADO 2025'!K70*'PREVISTO 2026'!$S$61</f>
        <v>0</v>
      </c>
      <c r="L68" s="3">
        <f>'REALIZADO 2025'!L70*'PREVISTO 2026'!$S$61</f>
        <v>2001.5825499999999</v>
      </c>
      <c r="M68" s="3">
        <f>'REALIZADO 2025'!M70*'PREVISTO 2026'!$S$61</f>
        <v>1340.87085</v>
      </c>
      <c r="N68" s="3">
        <f>'REALIZADO 2025'!N70*'PREVISTO 2026'!$S$61</f>
        <v>1602.9255000000001</v>
      </c>
      <c r="O68" s="3">
        <f>'REALIZADO 2025'!O70*'PREVISTO 2026'!$S$61</f>
        <v>271.7</v>
      </c>
      <c r="P68" s="4">
        <f>SUM(D68:O68)</f>
        <v>5771.5977000000003</v>
      </c>
      <c r="Q68" s="25">
        <f t="shared" si="13"/>
        <v>480.966475</v>
      </c>
      <c r="R68" s="5"/>
      <c r="V68" s="1">
        <v>5771.5977000000003</v>
      </c>
    </row>
    <row r="69" spans="1:22" ht="12">
      <c r="A69" s="69" t="s">
        <v>59</v>
      </c>
      <c r="B69" s="69"/>
      <c r="C69" s="69"/>
      <c r="D69" s="3">
        <f>'REALIZADO 2025'!D71*'PREVISTO 2026'!$S$61</f>
        <v>0</v>
      </c>
      <c r="E69" s="3">
        <f>'REALIZADO 2025'!E71*'PREVISTO 2026'!$S$61</f>
        <v>0</v>
      </c>
      <c r="F69" s="3">
        <f>'REALIZADO 2025'!F71*'PREVISTO 2026'!$S$61</f>
        <v>0</v>
      </c>
      <c r="G69" s="3">
        <f>'REALIZADO 2025'!G71*'PREVISTO 2026'!$S$61</f>
        <v>0</v>
      </c>
      <c r="H69" s="3">
        <f>'REALIZADO 2025'!H71*'PREVISTO 2026'!$S$61</f>
        <v>0</v>
      </c>
      <c r="I69" s="3">
        <f>'REALIZADO 2025'!I71*'PREVISTO 2026'!$S$61</f>
        <v>0</v>
      </c>
      <c r="J69" s="3">
        <f>'REALIZADO 2025'!J71*'PREVISTO 2026'!$S$61</f>
        <v>1440.01</v>
      </c>
      <c r="K69" s="3">
        <f>'REALIZADO 2025'!K71*'PREVISTO 2026'!$S$61</f>
        <v>543.4</v>
      </c>
      <c r="L69" s="3">
        <f>'REALIZADO 2025'!L71*'PREVISTO 2026'!$S$61</f>
        <v>6565.202049999999</v>
      </c>
      <c r="M69" s="3">
        <f>'REALIZADO 2025'!M71*'PREVISTO 2026'!$S$61</f>
        <v>1681.9588499999998</v>
      </c>
      <c r="N69" s="3">
        <f>'REALIZADO 2025'!N71*'PREVISTO 2026'!$S$61</f>
        <v>1688.6572999999999</v>
      </c>
      <c r="O69" s="3">
        <f>'REALIZADO 2025'!O71*'PREVISTO 2026'!$S$61</f>
        <v>683.3463999999999</v>
      </c>
      <c r="P69" s="4">
        <f>SUM(D69:O69)</f>
        <v>12602.574599999998</v>
      </c>
      <c r="Q69" s="25">
        <f t="shared" si="13"/>
        <v>1050.2145499999999</v>
      </c>
      <c r="R69" s="5"/>
      <c r="V69" s="1">
        <v>12602.574599999998</v>
      </c>
    </row>
    <row r="70" spans="1:22" ht="12">
      <c r="A70" s="69" t="s">
        <v>60</v>
      </c>
      <c r="B70" s="69"/>
      <c r="C70" s="69"/>
      <c r="D70" s="3">
        <f>'REALIZADO 2025'!D72*'PREVISTO 2026'!$S$61</f>
        <v>5500.8486499999999</v>
      </c>
      <c r="E70" s="3">
        <f>'REALIZADO 2025'!E72*'PREVISTO 2026'!$S$61</f>
        <v>4596.8504999999996</v>
      </c>
      <c r="F70" s="3">
        <f>'REALIZADO 2025'!F72*'PREVISTO 2026'!$S$61</f>
        <v>1380.1106</v>
      </c>
      <c r="G70" s="3">
        <f>'REALIZADO 2025'!G72*'PREVISTO 2026'!$S$61</f>
        <v>1256.4348499999999</v>
      </c>
      <c r="H70" s="3">
        <f>'REALIZADO 2025'!H72*'PREVISTO 2026'!$S$61</f>
        <v>1988.7499499999997</v>
      </c>
      <c r="I70" s="3">
        <f>'REALIZADO 2025'!I72*'PREVISTO 2026'!$S$61</f>
        <v>252.76459999999997</v>
      </c>
      <c r="J70" s="3">
        <f>'REALIZADO 2025'!J72*'PREVISTO 2026'!$S$61</f>
        <v>202.77179999999998</v>
      </c>
      <c r="K70" s="3">
        <f>'REALIZADO 2025'!K72*'PREVISTO 2026'!$S$61</f>
        <v>2318.855</v>
      </c>
      <c r="L70" s="3">
        <f>'REALIZADO 2025'!L72*'PREVISTO 2026'!$S$61</f>
        <v>2207.0817999999999</v>
      </c>
      <c r="M70" s="3">
        <f>'REALIZADO 2025'!M72*'PREVISTO 2026'!$S$61</f>
        <v>1405.5145499999999</v>
      </c>
      <c r="N70" s="3">
        <f>'REALIZADO 2025'!N72*'PREVISTO 2026'!$S$61</f>
        <v>1072.3476499999999</v>
      </c>
      <c r="O70" s="3">
        <f>'REALIZADO 2025'!O72*'PREVISTO 2026'!$S$61</f>
        <v>4023.1559499999994</v>
      </c>
      <c r="P70" s="4">
        <v>20000</v>
      </c>
      <c r="Q70" s="25">
        <f t="shared" si="13"/>
        <v>1666.6666666666667</v>
      </c>
      <c r="R70" s="5"/>
      <c r="V70" s="1">
        <v>26205.4859</v>
      </c>
    </row>
    <row r="71" spans="1:22" ht="12">
      <c r="A71" s="91" t="s">
        <v>61</v>
      </c>
      <c r="B71" s="91"/>
      <c r="C71" s="91"/>
      <c r="D71" s="3">
        <f>'REALIZADO 2025'!D73*'PREVISTO 2026'!$S$61</f>
        <v>349.70924999999994</v>
      </c>
      <c r="E71" s="3">
        <f>'REALIZADO 2025'!E73*'PREVISTO 2026'!$S$61</f>
        <v>60.505499999999998</v>
      </c>
      <c r="F71" s="3">
        <f>'REALIZADO 2025'!F73*'PREVISTO 2026'!$S$61</f>
        <v>60.505499999999998</v>
      </c>
      <c r="G71" s="3">
        <f>'REALIZADO 2025'!G73*'PREVISTO 2026'!$S$61</f>
        <v>60.505499999999998</v>
      </c>
      <c r="H71" s="3">
        <f>'REALIZADO 2025'!H73*'PREVISTO 2026'!$S$61</f>
        <v>60.505499999999998</v>
      </c>
      <c r="I71" s="3">
        <f>'REALIZADO 2025'!I73*'PREVISTO 2026'!$S$61</f>
        <v>530.75549999999998</v>
      </c>
      <c r="J71" s="3">
        <f>'REALIZADO 2025'!J73*'PREVISTO 2026'!$S$61</f>
        <v>3445.1559999999999</v>
      </c>
      <c r="K71" s="3">
        <f>'REALIZADO 2025'!K73*'PREVISTO 2026'!$S$61</f>
        <v>257.07</v>
      </c>
      <c r="L71" s="3">
        <f>'REALIZADO 2025'!L73*'PREVISTO 2026'!$S$61</f>
        <v>421.79334999999998</v>
      </c>
      <c r="M71" s="3">
        <f>'REALIZADO 2025'!M73*'PREVISTO 2026'!$S$61</f>
        <v>9542.9399999999987</v>
      </c>
      <c r="N71" s="3">
        <f>'REALIZADO 2025'!N73*'PREVISTO 2026'!$S$61</f>
        <v>416.88184999999999</v>
      </c>
      <c r="O71" s="3">
        <f>'REALIZADO 2025'!O73*'PREVISTO 2026'!$S$61</f>
        <v>0</v>
      </c>
      <c r="P71" s="4">
        <v>25000</v>
      </c>
      <c r="Q71" s="25">
        <f t="shared" si="13"/>
        <v>2083.3333333333335</v>
      </c>
      <c r="R71" s="5"/>
      <c r="V71" s="1">
        <v>15206.327949999997</v>
      </c>
    </row>
    <row r="72" spans="1:22" ht="12">
      <c r="A72" s="69" t="s">
        <v>62</v>
      </c>
      <c r="B72" s="69"/>
      <c r="C72" s="69"/>
      <c r="D72" s="3">
        <f>'REALIZADO 2025'!D74*'PREVISTO 2026'!$S$61</f>
        <v>12.54</v>
      </c>
      <c r="E72" s="3">
        <f>'REALIZADO 2025'!E74*'PREVISTO 2026'!$S$61</f>
        <v>135.36929999999998</v>
      </c>
      <c r="F72" s="3">
        <f>'REALIZADO 2025'!F74*'PREVISTO 2026'!$S$61</f>
        <v>898.69999999999993</v>
      </c>
      <c r="G72" s="3">
        <f>'REALIZADO 2025'!G74*'PREVISTO 2026'!$S$61</f>
        <v>1308.8938499999999</v>
      </c>
      <c r="H72" s="3">
        <f>'REALIZADO 2025'!H74*'PREVISTO 2026'!$S$61</f>
        <v>2248.7354999999998</v>
      </c>
      <c r="I72" s="3">
        <f>'REALIZADO 2025'!I74*'PREVISTO 2026'!$S$61</f>
        <v>2400.6680499999998</v>
      </c>
      <c r="J72" s="3">
        <f>'REALIZADO 2025'!J74*'PREVISTO 2026'!$S$61</f>
        <v>3859.3312999999998</v>
      </c>
      <c r="K72" s="3">
        <f>'REALIZADO 2025'!K74*'PREVISTO 2026'!$S$61</f>
        <v>2438.7269499999998</v>
      </c>
      <c r="L72" s="3">
        <f>'REALIZADO 2025'!L74*'PREVISTO 2026'!$S$61</f>
        <v>1587.4072499999997</v>
      </c>
      <c r="M72" s="3">
        <f>'REALIZADO 2025'!M74*'PREVISTO 2026'!$S$61</f>
        <v>682.02969999999993</v>
      </c>
      <c r="N72" s="3">
        <f>'REALIZADO 2025'!N74*'PREVISTO 2026'!$S$61</f>
        <v>814.27445</v>
      </c>
      <c r="O72" s="3">
        <f>'REALIZADO 2025'!O74*'PREVISTO 2026'!$S$61</f>
        <v>962.34049999999991</v>
      </c>
      <c r="P72" s="4">
        <f>SUM(D72:O72)</f>
        <v>17349.016849999996</v>
      </c>
      <c r="Q72" s="25">
        <f t="shared" si="13"/>
        <v>1445.7514041666664</v>
      </c>
      <c r="R72" s="5"/>
      <c r="V72" s="1">
        <v>17349.016849999996</v>
      </c>
    </row>
    <row r="73" spans="1:22" ht="12">
      <c r="A73" s="69" t="s">
        <v>170</v>
      </c>
      <c r="B73" s="92"/>
      <c r="C73" s="9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>
        <v>10000</v>
      </c>
      <c r="Q73" s="25">
        <f t="shared" si="13"/>
        <v>833.33333333333337</v>
      </c>
      <c r="R73" s="5"/>
      <c r="U73" s="52">
        <f>P64/3</f>
        <v>0</v>
      </c>
    </row>
    <row r="74" spans="1:22" ht="12">
      <c r="A74" s="69" t="s">
        <v>171</v>
      </c>
      <c r="B74" s="92"/>
      <c r="C74" s="9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>
        <v>10000</v>
      </c>
      <c r="Q74" s="25">
        <f t="shared" si="13"/>
        <v>833.33333333333337</v>
      </c>
      <c r="R74" s="5"/>
    </row>
    <row r="75" spans="1:22" ht="12">
      <c r="A75" s="69" t="s">
        <v>172</v>
      </c>
      <c r="B75" s="92"/>
      <c r="C75" s="9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>
        <v>90000</v>
      </c>
      <c r="Q75" s="25">
        <f t="shared" si="13"/>
        <v>7500</v>
      </c>
      <c r="R75" s="5"/>
    </row>
    <row r="76" spans="1:22" ht="12">
      <c r="A76" s="69" t="s">
        <v>173</v>
      </c>
      <c r="B76" s="92"/>
      <c r="C76" s="9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>
        <v>3000</v>
      </c>
      <c r="Q76" s="25">
        <f t="shared" si="13"/>
        <v>250</v>
      </c>
      <c r="R76" s="5"/>
    </row>
    <row r="77" spans="1:22" ht="12">
      <c r="A77" s="69" t="s">
        <v>174</v>
      </c>
      <c r="B77" s="92"/>
      <c r="C77" s="9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>
        <v>3000</v>
      </c>
      <c r="Q77" s="25">
        <f t="shared" si="13"/>
        <v>250</v>
      </c>
      <c r="R77" s="5"/>
    </row>
    <row r="78" spans="1:22" ht="12">
      <c r="A78" s="69" t="s">
        <v>175</v>
      </c>
      <c r="B78" s="69"/>
      <c r="C78" s="6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>
        <v>30000</v>
      </c>
      <c r="Q78" s="25">
        <f t="shared" si="13"/>
        <v>2500</v>
      </c>
      <c r="R78" s="5"/>
    </row>
    <row r="79" spans="1:22" ht="12" customHeight="1">
      <c r="A79" s="74" t="s">
        <v>69</v>
      </c>
      <c r="B79" s="74"/>
      <c r="C79" s="74"/>
      <c r="D79" s="8">
        <f>SUM(D80:D91)</f>
        <v>13069.940399999999</v>
      </c>
      <c r="E79" s="8">
        <f t="shared" ref="E79:O79" si="14">SUM(E80:E91)</f>
        <v>14929.141699999996</v>
      </c>
      <c r="F79" s="8">
        <f t="shared" si="14"/>
        <v>19163.1682</v>
      </c>
      <c r="G79" s="8">
        <f t="shared" si="14"/>
        <v>16750.4931</v>
      </c>
      <c r="H79" s="8">
        <f t="shared" si="14"/>
        <v>10903.937550000001</v>
      </c>
      <c r="I79" s="8">
        <f t="shared" si="14"/>
        <v>10419.653200000001</v>
      </c>
      <c r="J79" s="8">
        <f t="shared" si="14"/>
        <v>14561.834650000001</v>
      </c>
      <c r="K79" s="8">
        <f t="shared" si="14"/>
        <v>8672.9983999999986</v>
      </c>
      <c r="L79" s="8">
        <f t="shared" si="14"/>
        <v>20187.9997</v>
      </c>
      <c r="M79" s="8">
        <f t="shared" si="14"/>
        <v>20380.133399999999</v>
      </c>
      <c r="N79" s="8">
        <f t="shared" si="14"/>
        <v>16417.984550000001</v>
      </c>
      <c r="O79" s="8">
        <f t="shared" si="14"/>
        <v>12092.039849999997</v>
      </c>
      <c r="P79" s="28">
        <f>SUM(P80:P91)</f>
        <v>149101.29069999995</v>
      </c>
      <c r="Q79" s="28">
        <f>P79/12</f>
        <v>12425.10755833333</v>
      </c>
      <c r="R79" s="5"/>
    </row>
    <row r="80" spans="1:22" ht="12">
      <c r="A80" s="69" t="s">
        <v>70</v>
      </c>
      <c r="B80" s="69"/>
      <c r="C80" s="69"/>
      <c r="D80" s="3">
        <f>'REALIZADO 2025'!D76*'PREVISTO 2026'!$S$61</f>
        <v>1201.7082</v>
      </c>
      <c r="E80" s="3">
        <f>'REALIZADO 2025'!E76*'PREVISTO 2026'!$S$61</f>
        <v>5668.4353000000001</v>
      </c>
      <c r="F80" s="3">
        <f>'REALIZADO 2025'!F76*'PREVISTO 2026'!$S$61</f>
        <v>1839.4298999999999</v>
      </c>
      <c r="G80" s="3">
        <f>'REALIZADO 2025'!G76*'PREVISTO 2026'!$S$61</f>
        <v>1707.43595</v>
      </c>
      <c r="H80" s="3">
        <f>'REALIZADO 2025'!H76*'PREVISTO 2026'!$S$61</f>
        <v>1130.7213499999998</v>
      </c>
      <c r="I80" s="3">
        <f>'REALIZADO 2025'!I76*'PREVISTO 2026'!$S$61</f>
        <v>410.50734999999997</v>
      </c>
      <c r="J80" s="3">
        <f>'REALIZADO 2025'!J76*'PREVISTO 2026'!$S$61</f>
        <v>2901.2752999999998</v>
      </c>
      <c r="K80" s="3">
        <f>'REALIZADO 2025'!K76*'PREVISTO 2026'!$S$61</f>
        <v>1329.7520499999998</v>
      </c>
      <c r="L80" s="3">
        <f>'REALIZADO 2025'!L76*'PREVISTO 2026'!$S$61</f>
        <v>2576.3429999999998</v>
      </c>
      <c r="M80" s="3">
        <f>'REALIZADO 2025'!M76*'PREVISTO 2026'!$S$61</f>
        <v>2003.96515</v>
      </c>
      <c r="N80" s="3">
        <f>'REALIZADO 2025'!N76*'PREVISTO 2026'!$S$61</f>
        <v>579.18079999999998</v>
      </c>
      <c r="O80" s="3">
        <f>'REALIZADO 2025'!O76*'PREVISTO 2026'!$S$61</f>
        <v>1431.6499999999999</v>
      </c>
      <c r="P80" s="25">
        <f>SUM(D80:O80)</f>
        <v>22780.404349999997</v>
      </c>
      <c r="Q80" s="25">
        <f t="shared" si="13"/>
        <v>1898.3670291666665</v>
      </c>
      <c r="R80" s="5"/>
    </row>
    <row r="81" spans="1:18" ht="12">
      <c r="A81" s="69" t="s">
        <v>71</v>
      </c>
      <c r="B81" s="69"/>
      <c r="C81" s="69"/>
      <c r="D81" s="3">
        <f>'REALIZADO 2025'!D77*'PREVISTO 2026'!$S$61</f>
        <v>0</v>
      </c>
      <c r="E81" s="3">
        <f>'REALIZADO 2025'!E77*'PREVISTO 2026'!$S$61</f>
        <v>2427.5245499999996</v>
      </c>
      <c r="F81" s="3">
        <f>'REALIZADO 2025'!F77*'PREVISTO 2026'!$S$61</f>
        <v>3773.1187999999997</v>
      </c>
      <c r="G81" s="3">
        <f>'REALIZADO 2025'!G77*'PREVISTO 2026'!$S$61</f>
        <v>1885.3785499999999</v>
      </c>
      <c r="H81" s="3">
        <f>'REALIZADO 2025'!H77*'PREVISTO 2026'!$S$61</f>
        <v>1016.2624999999999</v>
      </c>
      <c r="I81" s="3">
        <f>'REALIZADO 2025'!I77*'PREVISTO 2026'!$S$61</f>
        <v>3881.9868999999999</v>
      </c>
      <c r="J81" s="3">
        <f>'REALIZADO 2025'!J77*'PREVISTO 2026'!$S$61</f>
        <v>3093.2</v>
      </c>
      <c r="K81" s="3">
        <f>'REALIZADO 2025'!K77*'PREVISTO 2026'!$S$61</f>
        <v>1703.35</v>
      </c>
      <c r="L81" s="3">
        <f>'REALIZADO 2025'!L77*'PREVISTO 2026'!$S$61</f>
        <v>1703.35</v>
      </c>
      <c r="M81" s="3">
        <f>'REALIZADO 2025'!M77*'PREVISTO 2026'!$S$61</f>
        <v>4185.1309499999998</v>
      </c>
      <c r="N81" s="3">
        <f>'REALIZADO 2025'!N77*'PREVISTO 2026'!$S$61</f>
        <v>3160.1217999999999</v>
      </c>
      <c r="O81" s="3">
        <f>'REALIZADO 2025'!O77*'PREVISTO 2026'!$S$61</f>
        <v>2277.67155</v>
      </c>
      <c r="P81" s="25">
        <f>SUM(D81:O81)</f>
        <v>29107.095599999997</v>
      </c>
      <c r="Q81" s="25">
        <f t="shared" si="13"/>
        <v>2425.5912999999996</v>
      </c>
      <c r="R81" s="5"/>
    </row>
    <row r="82" spans="1:18" ht="12">
      <c r="A82" s="69" t="s">
        <v>72</v>
      </c>
      <c r="B82" s="69"/>
      <c r="C82" s="69"/>
      <c r="D82" s="3">
        <f>'REALIZADO 2025'!D78*'PREVISTO 2026'!$S$61</f>
        <v>888.24999999999989</v>
      </c>
      <c r="E82" s="3">
        <f>'REALIZADO 2025'!E78*'PREVISTO 2026'!$S$61</f>
        <v>548.625</v>
      </c>
      <c r="F82" s="3">
        <f>'REALIZADO 2025'!F78*'PREVISTO 2026'!$S$61</f>
        <v>0</v>
      </c>
      <c r="G82" s="3">
        <f>'REALIZADO 2025'!G78*'PREVISTO 2026'!$S$61</f>
        <v>0</v>
      </c>
      <c r="H82" s="3">
        <f>'REALIZADO 2025'!H78*'PREVISTO 2026'!$S$61</f>
        <v>0</v>
      </c>
      <c r="I82" s="3">
        <f>'REALIZADO 2025'!I78*'PREVISTO 2026'!$S$61</f>
        <v>0</v>
      </c>
      <c r="J82" s="3">
        <f>'REALIZADO 2025'!J78*'PREVISTO 2026'!$S$61</f>
        <v>0</v>
      </c>
      <c r="K82" s="3">
        <f>'REALIZADO 2025'!K78*'PREVISTO 2026'!$S$61</f>
        <v>0</v>
      </c>
      <c r="L82" s="3">
        <f>'REALIZADO 2025'!L78*'PREVISTO 2026'!$S$61</f>
        <v>0</v>
      </c>
      <c r="M82" s="3">
        <f>'REALIZADO 2025'!M78*'PREVISTO 2026'!$S$61</f>
        <v>0</v>
      </c>
      <c r="N82" s="3">
        <f>'REALIZADO 2025'!N78*'PREVISTO 2026'!$S$61</f>
        <v>0</v>
      </c>
      <c r="O82" s="3">
        <f>'REALIZADO 2025'!O78*'PREVISTO 2026'!$S$61</f>
        <v>0</v>
      </c>
      <c r="P82" s="25">
        <f>SUM(D82:O82)</f>
        <v>1436.875</v>
      </c>
      <c r="Q82" s="25">
        <f t="shared" si="13"/>
        <v>119.73958333333333</v>
      </c>
      <c r="R82" s="5"/>
    </row>
    <row r="83" spans="1:18" ht="12">
      <c r="A83" s="69" t="s">
        <v>73</v>
      </c>
      <c r="B83" s="69"/>
      <c r="C83" s="69"/>
      <c r="D83" s="3">
        <f>'REALIZADO 2025'!D79*'PREVISTO 2026'!$S$61</f>
        <v>0</v>
      </c>
      <c r="E83" s="3">
        <f>'REALIZADO 2025'!E79*'PREVISTO 2026'!$S$61</f>
        <v>0</v>
      </c>
      <c r="F83" s="3">
        <f>'REALIZADO 2025'!F79*'PREVISTO 2026'!$S$61</f>
        <v>0</v>
      </c>
      <c r="G83" s="3">
        <f>'REALIZADO 2025'!G79*'PREVISTO 2026'!$S$61</f>
        <v>0</v>
      </c>
      <c r="H83" s="3">
        <f>'REALIZADO 2025'!H79*'PREVISTO 2026'!$S$61</f>
        <v>0</v>
      </c>
      <c r="I83" s="3">
        <f>'REALIZADO 2025'!I79*'PREVISTO 2026'!$S$61</f>
        <v>0</v>
      </c>
      <c r="J83" s="3">
        <f>'REALIZADO 2025'!J79*'PREVISTO 2026'!$S$61</f>
        <v>0</v>
      </c>
      <c r="K83" s="3">
        <f>'REALIZADO 2025'!K79*'PREVISTO 2026'!$S$61</f>
        <v>0</v>
      </c>
      <c r="L83" s="3">
        <f>'REALIZADO 2025'!L79*'PREVISTO 2026'!$S$61</f>
        <v>42.573299999999996</v>
      </c>
      <c r="M83" s="3">
        <f>'REALIZADO 2025'!M79*'PREVISTO 2026'!$S$61</f>
        <v>0</v>
      </c>
      <c r="N83" s="3">
        <f>'REALIZADO 2025'!N79*'PREVISTO 2026'!$S$61</f>
        <v>0</v>
      </c>
      <c r="O83" s="3">
        <f>'REALIZADO 2025'!O79*'PREVISTO 2026'!$S$61</f>
        <v>0</v>
      </c>
      <c r="P83" s="25">
        <f>SUM(D83:O83)</f>
        <v>42.573299999999996</v>
      </c>
      <c r="Q83" s="25">
        <f t="shared" si="13"/>
        <v>3.5477749999999997</v>
      </c>
      <c r="R83" s="5"/>
    </row>
    <row r="84" spans="1:18" ht="12">
      <c r="A84" s="69" t="s">
        <v>74</v>
      </c>
      <c r="B84" s="69"/>
      <c r="C84" s="69"/>
      <c r="D84" s="3">
        <f>'REALIZADO 2025'!D80*'PREVISTO 2026'!$S$61</f>
        <v>2080.5113999999999</v>
      </c>
      <c r="E84" s="3">
        <f>'REALIZADO 2025'!E80*'PREVISTO 2026'!$S$61</f>
        <v>1775.5803999999998</v>
      </c>
      <c r="F84" s="3">
        <f>'REALIZADO 2025'!F80*'PREVISTO 2026'!$S$61</f>
        <v>2668.5328999999997</v>
      </c>
      <c r="G84" s="3">
        <f>'REALIZADO 2025'!G80*'PREVISTO 2026'!$S$61</f>
        <v>5443.0914999999995</v>
      </c>
      <c r="H84" s="3">
        <f>'REALIZADO 2025'!H80*'PREVISTO 2026'!$S$61</f>
        <v>3762.7419499999996</v>
      </c>
      <c r="I84" s="3">
        <f>'REALIZADO 2025'!I80*'PREVISTO 2026'!$S$61</f>
        <v>3642.0862499999998</v>
      </c>
      <c r="J84" s="3">
        <f>'REALIZADO 2025'!J80*'PREVISTO 2026'!$S$61</f>
        <v>372.79329999999999</v>
      </c>
      <c r="K84" s="3">
        <f>'REALIZADO 2025'!K80*'PREVISTO 2026'!$S$61</f>
        <v>968.19249999999988</v>
      </c>
      <c r="L84" s="3">
        <f>'REALIZADO 2025'!L80*'PREVISTO 2026'!$S$61</f>
        <v>4318.3997999999992</v>
      </c>
      <c r="M84" s="3">
        <f>'REALIZADO 2025'!M80*'PREVISTO 2026'!$S$61</f>
        <v>6209.7348499999998</v>
      </c>
      <c r="N84" s="3">
        <f>'REALIZADO 2025'!N80*'PREVISTO 2026'!$S$61</f>
        <v>7047.6053999999995</v>
      </c>
      <c r="O84" s="3">
        <f>'REALIZADO 2025'!O80*'PREVISTO 2026'!$S$61</f>
        <v>4547.4220000000005</v>
      </c>
      <c r="P84" s="25">
        <v>10000</v>
      </c>
      <c r="Q84" s="25">
        <f t="shared" si="13"/>
        <v>833.33333333333337</v>
      </c>
      <c r="R84" s="5"/>
    </row>
    <row r="85" spans="1:18" ht="12">
      <c r="A85" s="69" t="s">
        <v>75</v>
      </c>
      <c r="B85" s="69"/>
      <c r="C85" s="69"/>
      <c r="D85" s="3">
        <f>'REALIZADO 2025'!D81*'PREVISTO 2026'!$S$61</f>
        <v>0</v>
      </c>
      <c r="E85" s="3">
        <f>'REALIZADO 2025'!E81*'PREVISTO 2026'!$S$61</f>
        <v>0</v>
      </c>
      <c r="F85" s="3">
        <f>'REALIZADO 2025'!F81*'PREVISTO 2026'!$S$61</f>
        <v>0</v>
      </c>
      <c r="G85" s="3">
        <f>'REALIZADO 2025'!G81*'PREVISTO 2026'!$S$61</f>
        <v>104.5</v>
      </c>
      <c r="H85" s="3">
        <f>'REALIZADO 2025'!H81*'PREVISTO 2026'!$S$61</f>
        <v>0</v>
      </c>
      <c r="I85" s="3">
        <f>'REALIZADO 2025'!I81*'PREVISTO 2026'!$S$61</f>
        <v>0</v>
      </c>
      <c r="J85" s="3">
        <f>'REALIZADO 2025'!J81*'PREVISTO 2026'!$S$61</f>
        <v>0</v>
      </c>
      <c r="K85" s="3">
        <f>'REALIZADO 2025'!K81*'PREVISTO 2026'!$S$61</f>
        <v>0</v>
      </c>
      <c r="L85" s="3">
        <f>'REALIZADO 2025'!L81*'PREVISTO 2026'!$S$61</f>
        <v>0</v>
      </c>
      <c r="M85" s="3">
        <f>'REALIZADO 2025'!M81*'PREVISTO 2026'!$S$61</f>
        <v>0</v>
      </c>
      <c r="N85" s="3">
        <f>'REALIZADO 2025'!N81*'PREVISTO 2026'!$S$61</f>
        <v>0</v>
      </c>
      <c r="O85" s="3">
        <f>'REALIZADO 2025'!O81*'PREVISTO 2026'!$S$61</f>
        <v>56.764399999999995</v>
      </c>
      <c r="P85" s="25">
        <f>SUM(D85:O85)</f>
        <v>161.26439999999999</v>
      </c>
      <c r="Q85" s="25">
        <f t="shared" si="13"/>
        <v>13.438699999999999</v>
      </c>
      <c r="R85" s="5"/>
    </row>
    <row r="86" spans="1:18" ht="12">
      <c r="A86" s="69" t="s">
        <v>76</v>
      </c>
      <c r="B86" s="69"/>
      <c r="C86" s="69"/>
      <c r="D86" s="3">
        <f>'REALIZADO 2025'!D82*'PREVISTO 2026'!$S$61</f>
        <v>7691.6597999999994</v>
      </c>
      <c r="E86" s="3">
        <f>'REALIZADO 2025'!E82*'PREVISTO 2026'!$S$61</f>
        <v>2713.0812499999997</v>
      </c>
      <c r="F86" s="3">
        <f>'REALIZADO 2025'!F82*'PREVISTO 2026'!$S$61</f>
        <v>1018.8749999999999</v>
      </c>
      <c r="G86" s="3">
        <f>'REALIZADO 2025'!G82*'PREVISTO 2026'!$S$61</f>
        <v>2666.8399999999997</v>
      </c>
      <c r="H86" s="3">
        <f>'REALIZADO 2025'!H82*'PREVISTO 2026'!$S$61</f>
        <v>2783.8799999999997</v>
      </c>
      <c r="I86" s="3">
        <f>'REALIZADO 2025'!I82*'PREVISTO 2026'!$S$61</f>
        <v>836</v>
      </c>
      <c r="J86" s="3">
        <f>'REALIZADO 2025'!J82*'PREVISTO 2026'!$S$61</f>
        <v>877.8</v>
      </c>
      <c r="K86" s="3">
        <f>'REALIZADO 2025'!K82*'PREVISTO 2026'!$S$61</f>
        <v>1648.4875</v>
      </c>
      <c r="L86" s="3">
        <f>'REALIZADO 2025'!L82*'PREVISTO 2026'!$S$61</f>
        <v>2319.11625</v>
      </c>
      <c r="M86" s="3">
        <f>'REALIZADO 2025'!M82*'PREVISTO 2026'!$S$61</f>
        <v>1903.6347000000001</v>
      </c>
      <c r="N86" s="3">
        <f>'REALIZADO 2025'!N82*'PREVISTO 2026'!$S$61</f>
        <v>1088.5346999999999</v>
      </c>
      <c r="O86" s="3">
        <f>'REALIZADO 2025'!O82*'PREVISTO 2026'!$S$61</f>
        <v>2016.1811999999998</v>
      </c>
      <c r="P86" s="25">
        <f>SUM(D86:O86)</f>
        <v>27564.090399999994</v>
      </c>
      <c r="Q86" s="25">
        <f t="shared" si="13"/>
        <v>2297.007533333333</v>
      </c>
      <c r="R86" s="5"/>
    </row>
    <row r="87" spans="1:18" ht="12">
      <c r="A87" s="69" t="s">
        <v>77</v>
      </c>
      <c r="B87" s="69"/>
      <c r="C87" s="69"/>
      <c r="D87" s="3">
        <f>'REALIZADO 2025'!D83*'PREVISTO 2026'!$S$61</f>
        <v>1149.5</v>
      </c>
      <c r="E87" s="3">
        <f>'REALIZADO 2025'!E83*'PREVISTO 2026'!$S$61</f>
        <v>1481.5591999999999</v>
      </c>
      <c r="F87" s="3">
        <f>'REALIZADO 2025'!F83*'PREVISTO 2026'!$S$61</f>
        <v>2122.2696000000001</v>
      </c>
      <c r="G87" s="3">
        <f>'REALIZADO 2025'!G83*'PREVISTO 2026'!$S$61</f>
        <v>2265.5913500000001</v>
      </c>
      <c r="H87" s="3">
        <f>'REALIZADO 2025'!H83*'PREVISTO 2026'!$S$61</f>
        <v>1493.2945499999998</v>
      </c>
      <c r="I87" s="3">
        <f>'REALIZADO 2025'!I83*'PREVISTO 2026'!$S$61</f>
        <v>1497.5163499999999</v>
      </c>
      <c r="J87" s="3">
        <f>'REALIZADO 2025'!J83*'PREVISTO 2026'!$S$61</f>
        <v>1918.2438</v>
      </c>
      <c r="K87" s="3">
        <f>'REALIZADO 2025'!K83*'PREVISTO 2026'!$S$61</f>
        <v>2009.5663499999998</v>
      </c>
      <c r="L87" s="3">
        <f>'REALIZADO 2025'!L83*'PREVISTO 2026'!$S$61</f>
        <v>8346.7807499999999</v>
      </c>
      <c r="M87" s="3">
        <f>'REALIZADO 2025'!M83*'PREVISTO 2026'!$S$61</f>
        <v>4122.4727499999999</v>
      </c>
      <c r="N87" s="3">
        <f>'REALIZADO 2025'!N83*'PREVISTO 2026'!$S$61</f>
        <v>2442.1963500000002</v>
      </c>
      <c r="O87" s="3">
        <f>'REALIZADO 2025'!O83*'PREVISTO 2026'!$S$61</f>
        <v>1762.3507</v>
      </c>
      <c r="P87" s="25">
        <v>35000</v>
      </c>
      <c r="Q87" s="25">
        <f t="shared" si="13"/>
        <v>2916.6666666666665</v>
      </c>
      <c r="R87" s="5"/>
    </row>
    <row r="88" spans="1:18" ht="12">
      <c r="A88" s="69" t="s">
        <v>78</v>
      </c>
      <c r="B88" s="69"/>
      <c r="C88" s="69"/>
      <c r="D88" s="3">
        <f>'REALIZADO 2025'!D84*'PREVISTO 2026'!$S$61</f>
        <v>0</v>
      </c>
      <c r="E88" s="3">
        <f>'REALIZADO 2025'!E84*'PREVISTO 2026'!$S$61</f>
        <v>0</v>
      </c>
      <c r="F88" s="3">
        <f>'REALIZADO 2025'!F84*'PREVISTO 2026'!$S$61</f>
        <v>425.94200000000001</v>
      </c>
      <c r="G88" s="3">
        <f>'REALIZADO 2025'!G84*'PREVISTO 2026'!$S$61</f>
        <v>250.79999999999998</v>
      </c>
      <c r="H88" s="3">
        <f>'REALIZADO 2025'!H84*'PREVISTO 2026'!$S$61</f>
        <v>0</v>
      </c>
      <c r="I88" s="3">
        <f>'REALIZADO 2025'!I84*'PREVISTO 2026'!$S$61</f>
        <v>78.270499999999998</v>
      </c>
      <c r="J88" s="3">
        <f>'REALIZADO 2025'!J84*'PREVISTO 2026'!$S$61</f>
        <v>1254</v>
      </c>
      <c r="K88" s="3">
        <f>'REALIZADO 2025'!K84*'PREVISTO 2026'!$S$61</f>
        <v>731.5</v>
      </c>
      <c r="L88" s="3">
        <f>'REALIZADO 2025'!L84*'PREVISTO 2026'!$S$61</f>
        <v>114.94999999999999</v>
      </c>
      <c r="M88" s="3">
        <f>'REALIZADO 2025'!M84*'PREVISTO 2026'!$S$61</f>
        <v>0</v>
      </c>
      <c r="N88" s="3">
        <f>'REALIZADO 2025'!N84*'PREVISTO 2026'!$S$61</f>
        <v>0</v>
      </c>
      <c r="O88" s="3">
        <f>'REALIZADO 2025'!O84*'PREVISTO 2026'!$S$61</f>
        <v>0</v>
      </c>
      <c r="P88" s="25">
        <f>SUM(D88:O88)</f>
        <v>2855.4624999999996</v>
      </c>
      <c r="Q88" s="25">
        <f t="shared" si="13"/>
        <v>237.9552083333333</v>
      </c>
      <c r="R88" s="5"/>
    </row>
    <row r="89" spans="1:18" ht="12">
      <c r="A89" s="69" t="s">
        <v>79</v>
      </c>
      <c r="B89" s="69"/>
      <c r="C89" s="69"/>
      <c r="D89" s="3">
        <f>'REALIZADO 2025'!D85*'PREVISTO 2026'!$S$61</f>
        <v>58.310999999999993</v>
      </c>
      <c r="E89" s="3">
        <f>'REALIZADO 2025'!E85*'PREVISTO 2026'!$S$61</f>
        <v>314.33600000000001</v>
      </c>
      <c r="F89" s="3">
        <f>'REALIZADO 2025'!F85*'PREVISTO 2026'!$S$61</f>
        <v>0</v>
      </c>
      <c r="G89" s="3">
        <f>'REALIZADO 2025'!G85*'PREVISTO 2026'!$S$61</f>
        <v>776.80074999999999</v>
      </c>
      <c r="H89" s="3">
        <f>'REALIZADO 2025'!H85*'PREVISTO 2026'!$S$61</f>
        <v>23.20945</v>
      </c>
      <c r="I89" s="3">
        <f>'REALIZADO 2025'!I85*'PREVISTO 2026'!$S$61</f>
        <v>0</v>
      </c>
      <c r="J89" s="3">
        <f>'REALIZADO 2025'!J85*'PREVISTO 2026'!$S$61</f>
        <v>3766.18</v>
      </c>
      <c r="K89" s="3">
        <f>'REALIZADO 2025'!K85*'PREVISTO 2026'!$S$61</f>
        <v>282.14999999999998</v>
      </c>
      <c r="L89" s="3">
        <f>'REALIZADO 2025'!L85*'PREVISTO 2026'!$S$61</f>
        <v>503.14659999999998</v>
      </c>
      <c r="M89" s="3">
        <f>'REALIZADO 2025'!M85*'PREVISTO 2026'!$S$61</f>
        <v>1955.1949999999999</v>
      </c>
      <c r="N89" s="3">
        <f>'REALIZADO 2025'!N85*'PREVISTO 2026'!$S$61</f>
        <v>2100.3454999999999</v>
      </c>
      <c r="O89" s="3">
        <f>'REALIZADO 2025'!O85*'PREVISTO 2026'!$S$61</f>
        <v>0</v>
      </c>
      <c r="P89" s="25">
        <f>SUM(D89:O89)</f>
        <v>9779.6742999999988</v>
      </c>
      <c r="Q89" s="25">
        <f t="shared" si="13"/>
        <v>814.97285833333319</v>
      </c>
      <c r="R89" s="5"/>
    </row>
    <row r="90" spans="1:18" ht="12">
      <c r="A90" s="69" t="s">
        <v>80</v>
      </c>
      <c r="B90" s="69"/>
      <c r="C90" s="69"/>
      <c r="D90" s="3">
        <f>'REALIZADO 2025'!D86*'PREVISTO 2026'!$S$61</f>
        <v>0</v>
      </c>
      <c r="E90" s="3">
        <f>'REALIZADO 2025'!E86*'PREVISTO 2026'!$S$61</f>
        <v>0</v>
      </c>
      <c r="F90" s="3">
        <f>'REALIZADO 2025'!F86*'PREVISTO 2026'!$S$61</f>
        <v>7314.9999999999991</v>
      </c>
      <c r="G90" s="3">
        <f>'REALIZADO 2025'!G86*'PREVISTO 2026'!$S$61</f>
        <v>1650.0549999999998</v>
      </c>
      <c r="H90" s="3">
        <f>'REALIZADO 2025'!H86*'PREVISTO 2026'!$S$61</f>
        <v>0</v>
      </c>
      <c r="I90" s="3">
        <f>'REALIZADO 2025'!I86*'PREVISTO 2026'!$S$61</f>
        <v>0</v>
      </c>
      <c r="J90" s="3">
        <f>'REALIZADO 2025'!J86*'PREVISTO 2026'!$S$61</f>
        <v>0</v>
      </c>
      <c r="K90" s="3">
        <f>'REALIZADO 2025'!K86*'PREVISTO 2026'!$S$61</f>
        <v>0</v>
      </c>
      <c r="L90" s="3">
        <f>'REALIZADO 2025'!L86*'PREVISTO 2026'!$S$61</f>
        <v>263.33999999999997</v>
      </c>
      <c r="M90" s="3">
        <f>'REALIZADO 2025'!M86*'PREVISTO 2026'!$S$61</f>
        <v>0</v>
      </c>
      <c r="N90" s="3">
        <f>'REALIZADO 2025'!N86*'PREVISTO 2026'!$S$61</f>
        <v>0</v>
      </c>
      <c r="O90" s="3">
        <f>'REALIZADO 2025'!O86*'PREVISTO 2026'!$S$61</f>
        <v>0</v>
      </c>
      <c r="P90" s="25">
        <f>SUM(D90:O90)</f>
        <v>9228.3949999999986</v>
      </c>
      <c r="Q90" s="25">
        <f t="shared" si="13"/>
        <v>769.03291666666655</v>
      </c>
      <c r="R90" s="5"/>
    </row>
    <row r="91" spans="1:18" ht="12">
      <c r="A91" s="69" t="s">
        <v>81</v>
      </c>
      <c r="B91" s="69"/>
      <c r="C91" s="69"/>
      <c r="D91" s="3">
        <f>'REALIZADO 2025'!D87*'PREVISTO 2026'!$S$61</f>
        <v>0</v>
      </c>
      <c r="E91" s="3">
        <f>'REALIZADO 2025'!E87*'PREVISTO 2026'!$S$61</f>
        <v>0</v>
      </c>
      <c r="F91" s="3">
        <f>'REALIZADO 2025'!F87*'PREVISTO 2026'!$S$61</f>
        <v>0</v>
      </c>
      <c r="G91" s="3">
        <f>'REALIZADO 2025'!G87*'PREVISTO 2026'!$S$61</f>
        <v>0</v>
      </c>
      <c r="H91" s="3">
        <f>'REALIZADO 2025'!H87*'PREVISTO 2026'!$S$61</f>
        <v>693.82775000000004</v>
      </c>
      <c r="I91" s="3">
        <f>'REALIZADO 2025'!I87*'PREVISTO 2026'!$S$61</f>
        <v>73.285849999999996</v>
      </c>
      <c r="J91" s="3">
        <f>'REALIZADO 2025'!J87*'PREVISTO 2026'!$S$61</f>
        <v>378.34224999999998</v>
      </c>
      <c r="K91" s="3">
        <f>'REALIZADO 2025'!K87*'PREVISTO 2026'!$S$61</f>
        <v>0</v>
      </c>
      <c r="L91" s="3">
        <f>'REALIZADO 2025'!L87*'PREVISTO 2026'!$S$61</f>
        <v>0</v>
      </c>
      <c r="M91" s="3">
        <f>'REALIZADO 2025'!M87*'PREVISTO 2026'!$S$61</f>
        <v>0</v>
      </c>
      <c r="N91" s="3">
        <f>'REALIZADO 2025'!N87*'PREVISTO 2026'!$S$61</f>
        <v>0</v>
      </c>
      <c r="O91" s="3">
        <f>'REALIZADO 2025'!O87*'PREVISTO 2026'!$S$61</f>
        <v>0</v>
      </c>
      <c r="P91" s="25">
        <f>SUM(D91:O91)</f>
        <v>1145.4558500000001</v>
      </c>
      <c r="Q91" s="25">
        <f t="shared" si="13"/>
        <v>95.454654166666671</v>
      </c>
      <c r="R91" s="5"/>
    </row>
    <row r="92" spans="1:18" ht="12">
      <c r="A92" s="74" t="s">
        <v>82</v>
      </c>
      <c r="B92" s="74"/>
      <c r="C92" s="74"/>
      <c r="D92" s="8">
        <f>SUM(D93:D95)</f>
        <v>16132.187499999998</v>
      </c>
      <c r="E92" s="8">
        <f t="shared" ref="E92:O92" si="15">SUM(E93:E95)</f>
        <v>14734.8135</v>
      </c>
      <c r="F92" s="8">
        <f t="shared" si="15"/>
        <v>13166.11175</v>
      </c>
      <c r="G92" s="8">
        <f t="shared" si="15"/>
        <v>15843.767499999998</v>
      </c>
      <c r="H92" s="8">
        <f t="shared" si="15"/>
        <v>6390.1749999999993</v>
      </c>
      <c r="I92" s="8">
        <f t="shared" si="15"/>
        <v>10054.99</v>
      </c>
      <c r="J92" s="8">
        <f t="shared" si="15"/>
        <v>7028.6699999999992</v>
      </c>
      <c r="K92" s="8">
        <f t="shared" si="15"/>
        <v>8206.0401499999989</v>
      </c>
      <c r="L92" s="8">
        <f t="shared" si="15"/>
        <v>3996.7801499999996</v>
      </c>
      <c r="M92" s="8">
        <f t="shared" si="15"/>
        <v>7054.439699999999</v>
      </c>
      <c r="N92" s="8">
        <f t="shared" si="15"/>
        <v>710.59999999999991</v>
      </c>
      <c r="O92" s="8">
        <f t="shared" si="15"/>
        <v>1839.0954999999999</v>
      </c>
      <c r="P92" s="9">
        <f>SUM(P93:P95)</f>
        <v>95374.688999999998</v>
      </c>
      <c r="Q92" s="28">
        <f t="shared" si="13"/>
        <v>7947.8907499999996</v>
      </c>
      <c r="R92" s="5"/>
    </row>
    <row r="93" spans="1:18" ht="12">
      <c r="A93" s="69" t="s">
        <v>83</v>
      </c>
      <c r="B93" s="69"/>
      <c r="C93" s="69"/>
      <c r="D93" s="3">
        <f>'REALIZADO 2025'!D89*'PREVISTO 2026'!$S$61</f>
        <v>6040.6224999999995</v>
      </c>
      <c r="E93" s="3">
        <f>'REALIZADO 2025'!E89*'PREVISTO 2026'!$S$61</f>
        <v>6040.6224999999995</v>
      </c>
      <c r="F93" s="3">
        <f>'REALIZADO 2025'!F89*'PREVISTO 2026'!$S$61</f>
        <v>5339.95</v>
      </c>
      <c r="G93" s="3">
        <f>'REALIZADO 2025'!G89*'PREVISTO 2026'!$S$61</f>
        <v>7947.2249999999995</v>
      </c>
      <c r="H93" s="3">
        <f>'REALIZADO 2025'!H89*'PREVISTO 2026'!$S$61</f>
        <v>6390.1749999999993</v>
      </c>
      <c r="I93" s="3">
        <f>'REALIZADO 2025'!I89*'PREVISTO 2026'!$S$61</f>
        <v>5956.5</v>
      </c>
      <c r="J93" s="3">
        <f>'REALIZADO 2025'!J89*'PREVISTO 2026'!$S$61</f>
        <v>3423.4199999999996</v>
      </c>
      <c r="K93" s="3">
        <f>'REALIZADO 2025'!K89*'PREVISTO 2026'!$S$61</f>
        <v>5016</v>
      </c>
      <c r="L93" s="3">
        <f>'REALIZADO 2025'!L89*'PREVISTO 2026'!$S$61</f>
        <v>1191.3</v>
      </c>
      <c r="M93" s="3">
        <f>'REALIZADO 2025'!M89*'PREVISTO 2026'!$S$61</f>
        <v>5114.2299999999996</v>
      </c>
      <c r="N93" s="3">
        <f>'REALIZADO 2025'!N89*'PREVISTO 2026'!$S$61</f>
        <v>0</v>
      </c>
      <c r="O93" s="3">
        <f>'REALIZADO 2025'!O89*'PREVISTO 2026'!$S$61</f>
        <v>0</v>
      </c>
      <c r="P93" s="4">
        <f>SUM(D93:O93)</f>
        <v>52460.044999999998</v>
      </c>
      <c r="Q93" s="25">
        <f t="shared" si="13"/>
        <v>4371.6704166666668</v>
      </c>
      <c r="R93" s="5"/>
    </row>
    <row r="94" spans="1:18" ht="12">
      <c r="A94" s="69" t="s">
        <v>84</v>
      </c>
      <c r="B94" s="69"/>
      <c r="C94" s="69"/>
      <c r="D94" s="3">
        <f>'REALIZADO 2025'!D90*'PREVISTO 2026'!$S$61</f>
        <v>7357.8449999999993</v>
      </c>
      <c r="E94" s="3">
        <f>'REALIZADO 2025'!E90*'PREVISTO 2026'!$S$61</f>
        <v>4558.0810000000001</v>
      </c>
      <c r="F94" s="3">
        <f>'REALIZADO 2025'!F90*'PREVISTO 2026'!$S$61</f>
        <v>5275.1077499999992</v>
      </c>
      <c r="G94" s="3">
        <f>'REALIZADO 2025'!G90*'PREVISTO 2026'!$S$61</f>
        <v>7008.2924999999996</v>
      </c>
      <c r="H94" s="3">
        <f>'REALIZADO 2025'!H90*'PREVISTO 2026'!$S$61</f>
        <v>0</v>
      </c>
      <c r="I94" s="3">
        <f>'REALIZADO 2025'!I90*'PREVISTO 2026'!$S$61</f>
        <v>2102.54</v>
      </c>
      <c r="J94" s="3">
        <f>'REALIZADO 2025'!J90*'PREVISTO 2026'!$S$61</f>
        <v>606.09999999999991</v>
      </c>
      <c r="K94" s="3">
        <f>'REALIZADO 2025'!K90*'PREVISTO 2026'!$S$61</f>
        <v>1864.9801499999999</v>
      </c>
      <c r="L94" s="3">
        <f>'REALIZADO 2025'!L90*'PREVISTO 2026'!$S$61</f>
        <v>2805.4801499999999</v>
      </c>
      <c r="M94" s="3">
        <f>'REALIZADO 2025'!M90*'PREVISTO 2026'!$S$61</f>
        <v>1940.2096999999999</v>
      </c>
      <c r="N94" s="3">
        <f>'REALIZADO 2025'!N90*'PREVISTO 2026'!$S$61</f>
        <v>0</v>
      </c>
      <c r="O94" s="3">
        <f>'REALIZADO 2025'!O90*'PREVISTO 2026'!$S$61</f>
        <v>1264.3454999999999</v>
      </c>
      <c r="P94" s="4">
        <v>25000</v>
      </c>
      <c r="Q94" s="25">
        <f t="shared" si="13"/>
        <v>2083.3333333333335</v>
      </c>
      <c r="R94" s="5"/>
    </row>
    <row r="95" spans="1:18" ht="12">
      <c r="A95" s="69" t="s">
        <v>85</v>
      </c>
      <c r="B95" s="69"/>
      <c r="C95" s="69"/>
      <c r="D95" s="3">
        <f>'REALIZADO 2025'!D91*'PREVISTO 2026'!$S$61</f>
        <v>2733.72</v>
      </c>
      <c r="E95" s="3">
        <f>'REALIZADO 2025'!E91*'PREVISTO 2026'!$S$61</f>
        <v>4136.1099999999997</v>
      </c>
      <c r="F95" s="3">
        <f>'REALIZADO 2025'!F91*'PREVISTO 2026'!$S$61</f>
        <v>2551.0539999999996</v>
      </c>
      <c r="G95" s="3">
        <f>'REALIZADO 2025'!G91*'PREVISTO 2026'!$S$61</f>
        <v>888.24999999999989</v>
      </c>
      <c r="H95" s="3">
        <f>'REALIZADO 2025'!H91*'PREVISTO 2026'!$S$61</f>
        <v>0</v>
      </c>
      <c r="I95" s="3">
        <f>'REALIZADO 2025'!I91*'PREVISTO 2026'!$S$61</f>
        <v>1995.9499999999998</v>
      </c>
      <c r="J95" s="3">
        <f>'REALIZADO 2025'!J91*'PREVISTO 2026'!$S$61</f>
        <v>2999.1499999999996</v>
      </c>
      <c r="K95" s="3">
        <f>'REALIZADO 2025'!K91*'PREVISTO 2026'!$S$61</f>
        <v>1325.06</v>
      </c>
      <c r="L95" s="3">
        <f>'REALIZADO 2025'!L91*'PREVISTO 2026'!$S$61</f>
        <v>0</v>
      </c>
      <c r="M95" s="3">
        <f>'REALIZADO 2025'!M91*'PREVISTO 2026'!$S$61</f>
        <v>0</v>
      </c>
      <c r="N95" s="3">
        <f>'REALIZADO 2025'!N91*'PREVISTO 2026'!$S$61</f>
        <v>710.59999999999991</v>
      </c>
      <c r="O95" s="3">
        <f>'REALIZADO 2025'!O91*'PREVISTO 2026'!$S$61</f>
        <v>574.75</v>
      </c>
      <c r="P95" s="4">
        <f>SUM(D95:O95)</f>
        <v>17914.643999999997</v>
      </c>
      <c r="Q95" s="25">
        <f t="shared" si="13"/>
        <v>1492.8869999999997</v>
      </c>
      <c r="R95" s="5"/>
    </row>
    <row r="96" spans="1:18" ht="12">
      <c r="A96" s="74" t="s">
        <v>86</v>
      </c>
      <c r="B96" s="74"/>
      <c r="C96" s="74"/>
      <c r="D96" s="8">
        <f>SUM(D97:D101)</f>
        <v>7920.1594999999998</v>
      </c>
      <c r="E96" s="8">
        <f t="shared" ref="E96:O96" si="16">SUM(E97:E101)</f>
        <v>4267.8635999999997</v>
      </c>
      <c r="F96" s="8">
        <f t="shared" si="16"/>
        <v>8104.9364000000005</v>
      </c>
      <c r="G96" s="8">
        <f t="shared" si="16"/>
        <v>10998.21745</v>
      </c>
      <c r="H96" s="8">
        <f t="shared" si="16"/>
        <v>4601.4798499999997</v>
      </c>
      <c r="I96" s="8">
        <f t="shared" si="16"/>
        <v>2179.5146999999997</v>
      </c>
      <c r="J96" s="8">
        <f t="shared" si="16"/>
        <v>3485.3675999999996</v>
      </c>
      <c r="K96" s="8">
        <f t="shared" si="16"/>
        <v>11692.8812</v>
      </c>
      <c r="L96" s="8">
        <f t="shared" si="16"/>
        <v>8783.601200000001</v>
      </c>
      <c r="M96" s="8">
        <f t="shared" si="16"/>
        <v>3132.9204500000001</v>
      </c>
      <c r="N96" s="8">
        <f t="shared" si="16"/>
        <v>5289.2257</v>
      </c>
      <c r="O96" s="8">
        <f t="shared" si="16"/>
        <v>3470.30915</v>
      </c>
      <c r="P96" s="9">
        <f>SUM(P97:P101)</f>
        <v>61500.335800000001</v>
      </c>
      <c r="Q96" s="28">
        <f t="shared" si="13"/>
        <v>5125.0279833333334</v>
      </c>
      <c r="R96" s="5"/>
    </row>
    <row r="97" spans="1:19" ht="12">
      <c r="A97" s="69" t="s">
        <v>87</v>
      </c>
      <c r="B97" s="69"/>
      <c r="C97" s="69"/>
      <c r="D97" s="3">
        <f>'REALIZADO 2025'!D93*'PREVISTO 2026'!$S$61</f>
        <v>909.15</v>
      </c>
      <c r="E97" s="3">
        <f>'REALIZADO 2025'!E93*'PREVISTO 2026'!$S$61</f>
        <v>0</v>
      </c>
      <c r="F97" s="3">
        <f>'REALIZADO 2025'!F93*'PREVISTO 2026'!$S$61</f>
        <v>0</v>
      </c>
      <c r="G97" s="3">
        <f>'REALIZADO 2025'!G93*'PREVISTO 2026'!$S$61</f>
        <v>0</v>
      </c>
      <c r="H97" s="3">
        <f>'REALIZADO 2025'!H93*'PREVISTO 2026'!$S$61</f>
        <v>0</v>
      </c>
      <c r="I97" s="3">
        <f>'REALIZADO 2025'!I93*'PREVISTO 2026'!$S$61</f>
        <v>0</v>
      </c>
      <c r="J97" s="3">
        <f>'REALIZADO 2025'!J93*'PREVISTO 2026'!$S$61</f>
        <v>0</v>
      </c>
      <c r="K97" s="3">
        <f>'REALIZADO 2025'!K93*'PREVISTO 2026'!$S$61</f>
        <v>0</v>
      </c>
      <c r="L97" s="3">
        <f>'REALIZADO 2025'!L93*'PREVISTO 2026'!$S$61</f>
        <v>0</v>
      </c>
      <c r="M97" s="3">
        <f>'REALIZADO 2025'!M93*'PREVISTO 2026'!$S$61</f>
        <v>0</v>
      </c>
      <c r="N97" s="3">
        <f>'REALIZADO 2025'!N93*'PREVISTO 2026'!$S$61</f>
        <v>109.72499999999999</v>
      </c>
      <c r="O97" s="3">
        <f>'REALIZADO 2025'!O93*'PREVISTO 2026'!$S$61</f>
        <v>0</v>
      </c>
      <c r="P97" s="4">
        <f>SUM(D97:O97)</f>
        <v>1018.875</v>
      </c>
      <c r="Q97" s="25">
        <f t="shared" si="13"/>
        <v>84.90625</v>
      </c>
      <c r="R97" s="5"/>
    </row>
    <row r="98" spans="1:19" ht="12">
      <c r="A98" s="69" t="s">
        <v>88</v>
      </c>
      <c r="B98" s="69"/>
      <c r="C98" s="69"/>
      <c r="D98" s="3">
        <f>'REALIZADO 2025'!D94*'PREVISTO 2026'!$S$61</f>
        <v>752.4</v>
      </c>
      <c r="E98" s="3">
        <f>'REALIZADO 2025'!E94*'PREVISTO 2026'!$S$61</f>
        <v>686.1887999999999</v>
      </c>
      <c r="F98" s="3">
        <f>'REALIZADO 2025'!F94*'PREVISTO 2026'!$S$61</f>
        <v>818.61119999999994</v>
      </c>
      <c r="G98" s="3">
        <f>'REALIZADO 2025'!G94*'PREVISTO 2026'!$S$61</f>
        <v>1368.9499999999998</v>
      </c>
      <c r="H98" s="3">
        <f>'REALIZADO 2025'!H94*'PREVISTO 2026'!$S$61</f>
        <v>686.1887999999999</v>
      </c>
      <c r="I98" s="3">
        <f>'REALIZADO 2025'!I94*'PREVISTO 2026'!$S$61</f>
        <v>818.61119999999994</v>
      </c>
      <c r="J98" s="3">
        <f>'REALIZADO 2025'!J94*'PREVISTO 2026'!$S$61</f>
        <v>1813.3675999999998</v>
      </c>
      <c r="K98" s="3">
        <f>'REALIZADO 2025'!K94*'PREVISTO 2026'!$S$61</f>
        <v>1575.1911999999998</v>
      </c>
      <c r="L98" s="3">
        <f>'REALIZADO 2025'!L94*'PREVISTO 2026'!$S$61</f>
        <v>1606.5411999999999</v>
      </c>
      <c r="M98" s="3">
        <f>'REALIZADO 2025'!M94*'PREVISTO 2026'!$S$61</f>
        <v>783.75</v>
      </c>
      <c r="N98" s="3">
        <f>'REALIZADO 2025'!N94*'PREVISTO 2026'!$S$61</f>
        <v>714.78</v>
      </c>
      <c r="O98" s="3">
        <f>'REALIZADO 2025'!O94*'PREVISTO 2026'!$S$61</f>
        <v>852.71999999999991</v>
      </c>
      <c r="P98" s="4">
        <f>SUM(D98:O98)</f>
        <v>12477.3</v>
      </c>
      <c r="Q98" s="25">
        <f t="shared" si="13"/>
        <v>1039.7749999999999</v>
      </c>
      <c r="R98" s="5"/>
    </row>
    <row r="99" spans="1:19" ht="12">
      <c r="A99" s="69" t="s">
        <v>89</v>
      </c>
      <c r="B99" s="69"/>
      <c r="C99" s="69"/>
      <c r="D99" s="3">
        <f>'REALIZADO 2025'!D95*'PREVISTO 2026'!$S$61</f>
        <v>2403.5</v>
      </c>
      <c r="E99" s="3">
        <f>'REALIZADO 2025'!E95*'PREVISTO 2026'!$S$61</f>
        <v>545.49</v>
      </c>
      <c r="F99" s="3">
        <f>'REALIZADO 2025'!F95*'PREVISTO 2026'!$S$61</f>
        <v>447.26</v>
      </c>
      <c r="G99" s="3">
        <f>'REALIZADO 2025'!G95*'PREVISTO 2026'!$S$61</f>
        <v>900.69594999999993</v>
      </c>
      <c r="H99" s="3">
        <f>'REALIZADO 2025'!H95*'PREVISTO 2026'!$S$61</f>
        <v>469.19454999999999</v>
      </c>
      <c r="I99" s="3">
        <f>'REALIZADO 2025'!I95*'PREVISTO 2026'!$S$61</f>
        <v>0</v>
      </c>
      <c r="J99" s="3">
        <f>'REALIZADO 2025'!J95*'PREVISTO 2026'!$S$61</f>
        <v>418</v>
      </c>
      <c r="K99" s="3">
        <f>'REALIZADO 2025'!K95*'PREVISTO 2026'!$S$61</f>
        <v>921.68999999999994</v>
      </c>
      <c r="L99" s="3">
        <f>'REALIZADO 2025'!L95*'PREVISTO 2026'!$S$61</f>
        <v>175.56</v>
      </c>
      <c r="M99" s="3">
        <f>'REALIZADO 2025'!M95*'PREVISTO 2026'!$S$61</f>
        <v>679.26044999999999</v>
      </c>
      <c r="N99" s="3">
        <f>'REALIZADO 2025'!N95*'PREVISTO 2026'!$S$61</f>
        <v>922.48419999999987</v>
      </c>
      <c r="O99" s="3">
        <f>'REALIZADO 2025'!O95*'PREVISTO 2026'!$S$61</f>
        <v>516.82565</v>
      </c>
      <c r="P99" s="4">
        <f>SUM(D99:O99)</f>
        <v>8399.9608000000007</v>
      </c>
      <c r="Q99" s="25">
        <f t="shared" si="13"/>
        <v>699.9967333333334</v>
      </c>
      <c r="R99" s="5"/>
    </row>
    <row r="100" spans="1:19" ht="12">
      <c r="A100" s="69" t="s">
        <v>90</v>
      </c>
      <c r="B100" s="69"/>
      <c r="C100" s="69"/>
      <c r="D100" s="3">
        <f>'REALIZADO 2025'!D96*'PREVISTO 2026'!$S$61</f>
        <v>1472.5094999999999</v>
      </c>
      <c r="E100" s="3">
        <f>'REALIZADO 2025'!E96*'PREVISTO 2026'!$S$61</f>
        <v>528.1848</v>
      </c>
      <c r="F100" s="3">
        <f>'REALIZADO 2025'!F96*'PREVISTO 2026'!$S$61</f>
        <v>5585.0652</v>
      </c>
      <c r="G100" s="3">
        <f>'REALIZADO 2025'!G96*'PREVISTO 2026'!$S$61</f>
        <v>6136.9714999999997</v>
      </c>
      <c r="H100" s="3">
        <f>'REALIZADO 2025'!H96*'PREVISTO 2026'!$S$61</f>
        <v>2192.0964999999997</v>
      </c>
      <c r="I100" s="3">
        <f>'REALIZADO 2025'!I96*'PREVISTO 2026'!$S$61</f>
        <v>106.90349999999999</v>
      </c>
      <c r="J100" s="3">
        <f>'REALIZADO 2025'!J96*'PREVISTO 2026'!$S$61</f>
        <v>0</v>
      </c>
      <c r="K100" s="3">
        <f>'REALIZADO 2025'!K96*'PREVISTO 2026'!$S$61</f>
        <v>7941.9999999999991</v>
      </c>
      <c r="L100" s="3">
        <f>'REALIZADO 2025'!L96*'PREVISTO 2026'!$S$61</f>
        <v>5747.5</v>
      </c>
      <c r="M100" s="3">
        <f>'REALIZADO 2025'!M96*'PREVISTO 2026'!$S$61</f>
        <v>415.90999999999997</v>
      </c>
      <c r="N100" s="3">
        <f>'REALIZADO 2025'!N96*'PREVISTO 2026'!$S$61</f>
        <v>1870.2365</v>
      </c>
      <c r="O100" s="3">
        <f>'REALIZADO 2025'!O96*'PREVISTO 2026'!$S$61</f>
        <v>428.76349999999996</v>
      </c>
      <c r="P100" s="4">
        <v>20000</v>
      </c>
      <c r="Q100" s="25">
        <f t="shared" si="13"/>
        <v>1666.6666666666667</v>
      </c>
      <c r="R100" s="5"/>
    </row>
    <row r="101" spans="1:19" ht="12">
      <c r="A101" s="69" t="s">
        <v>91</v>
      </c>
      <c r="B101" s="69"/>
      <c r="C101" s="69"/>
      <c r="D101" s="3">
        <f>'REALIZADO 2025'!D97*'PREVISTO 2026'!$S$61</f>
        <v>2382.6</v>
      </c>
      <c r="E101" s="3">
        <f>'REALIZADO 2025'!E97*'PREVISTO 2026'!$S$61</f>
        <v>2508</v>
      </c>
      <c r="F101" s="3">
        <f>'REALIZADO 2025'!F97*'PREVISTO 2026'!$S$61</f>
        <v>1254</v>
      </c>
      <c r="G101" s="3">
        <f>'REALIZADO 2025'!G97*'PREVISTO 2026'!$S$61</f>
        <v>2591.6</v>
      </c>
      <c r="H101" s="3">
        <f>'REALIZADO 2025'!H97*'PREVISTO 2026'!$S$61</f>
        <v>1254</v>
      </c>
      <c r="I101" s="3">
        <f>'REALIZADO 2025'!I97*'PREVISTO 2026'!$S$61</f>
        <v>1254</v>
      </c>
      <c r="J101" s="3">
        <f>'REALIZADO 2025'!J97*'PREVISTO 2026'!$S$61</f>
        <v>1254</v>
      </c>
      <c r="K101" s="3">
        <f>'REALIZADO 2025'!K97*'PREVISTO 2026'!$S$61</f>
        <v>1254</v>
      </c>
      <c r="L101" s="3">
        <f>'REALIZADO 2025'!L97*'PREVISTO 2026'!$S$61</f>
        <v>1254</v>
      </c>
      <c r="M101" s="3">
        <f>'REALIZADO 2025'!M97*'PREVISTO 2026'!$S$61</f>
        <v>1254</v>
      </c>
      <c r="N101" s="3">
        <f>'REALIZADO 2025'!N97*'PREVISTO 2026'!$S$61</f>
        <v>1672</v>
      </c>
      <c r="O101" s="3">
        <f>'REALIZADO 2025'!O97*'PREVISTO 2026'!$S$61</f>
        <v>1672</v>
      </c>
      <c r="P101" s="4">
        <f>SUM(D101:O101)</f>
        <v>19604.2</v>
      </c>
      <c r="Q101" s="25">
        <f t="shared" si="13"/>
        <v>1633.6833333333334</v>
      </c>
      <c r="R101" s="5"/>
    </row>
    <row r="102" spans="1:19" ht="12">
      <c r="A102" s="74" t="s">
        <v>92</v>
      </c>
      <c r="B102" s="74"/>
      <c r="C102" s="74"/>
      <c r="D102" s="8">
        <f t="shared" ref="D102:P102" si="17">SUM(D103:D109)</f>
        <v>74062.399949999992</v>
      </c>
      <c r="E102" s="8">
        <f t="shared" si="17"/>
        <v>69791.714850000004</v>
      </c>
      <c r="F102" s="8">
        <f t="shared" si="17"/>
        <v>66502.577350000007</v>
      </c>
      <c r="G102" s="8">
        <f t="shared" si="17"/>
        <v>61074.283049999998</v>
      </c>
      <c r="H102" s="8">
        <f t="shared" si="17"/>
        <v>83086.62285</v>
      </c>
      <c r="I102" s="8">
        <f t="shared" si="17"/>
        <v>79588.203200000004</v>
      </c>
      <c r="J102" s="8">
        <f t="shared" si="17"/>
        <v>78941.128749999989</v>
      </c>
      <c r="K102" s="8">
        <f t="shared" si="17"/>
        <v>79605.330749999994</v>
      </c>
      <c r="L102" s="8">
        <f t="shared" si="17"/>
        <v>80961.740749999983</v>
      </c>
      <c r="M102" s="8">
        <f t="shared" si="17"/>
        <v>81007.950649999999</v>
      </c>
      <c r="N102" s="8">
        <f t="shared" si="17"/>
        <v>82550.151199999993</v>
      </c>
      <c r="O102" s="8">
        <f t="shared" si="17"/>
        <v>79444.923249999993</v>
      </c>
      <c r="P102" s="9">
        <f t="shared" si="17"/>
        <v>916617.02659999998</v>
      </c>
      <c r="Q102" s="28">
        <f t="shared" si="13"/>
        <v>76384.75221666666</v>
      </c>
      <c r="R102" s="12" t="s">
        <v>18</v>
      </c>
      <c r="S102" s="13">
        <v>1.0449999999999999</v>
      </c>
    </row>
    <row r="103" spans="1:19" ht="12">
      <c r="A103" s="69" t="s">
        <v>93</v>
      </c>
      <c r="B103" s="69"/>
      <c r="C103" s="69"/>
      <c r="D103" s="3">
        <f>'REALIZADO 2025'!D99*'PREVISTO 2026'!$S$102</f>
        <v>4117.2999999999993</v>
      </c>
      <c r="E103" s="3">
        <f>'REALIZADO 2025'!E99*'PREVISTO 2026'!$S$102</f>
        <v>2058.6499999999996</v>
      </c>
      <c r="F103" s="3">
        <f>'REALIZADO 2025'!F99*'PREVISTO 2026'!$S$102</f>
        <v>0</v>
      </c>
      <c r="G103" s="3">
        <f>'REALIZADO 2025'!G99*'PREVISTO 2026'!$S$102</f>
        <v>0</v>
      </c>
      <c r="H103" s="3">
        <f>'REALIZADO 2025'!H99*'PREVISTO 2026'!$S$102</f>
        <v>6667.0999999999995</v>
      </c>
      <c r="I103" s="3">
        <f>'REALIZADO 2025'!I99*'PREVISTO 2026'!$S$102</f>
        <v>2304.2249999999999</v>
      </c>
      <c r="J103" s="3">
        <f>'REALIZADO 2025'!J99*'PREVISTO 2026'!$S$102</f>
        <v>2304.2249999999999</v>
      </c>
      <c r="K103" s="3">
        <f>'REALIZADO 2025'!K99*'PREVISTO 2026'!$S$102</f>
        <v>2304.2249999999999</v>
      </c>
      <c r="L103" s="3">
        <f>'REALIZADO 2025'!L99*'PREVISTO 2026'!$S$102</f>
        <v>2304.2249999999999</v>
      </c>
      <c r="M103" s="3">
        <f>'REALIZADO 2025'!M99*'PREVISTO 2026'!$S$102</f>
        <v>5334.94445</v>
      </c>
      <c r="N103" s="3">
        <f>'REALIZADO 2025'!N99*'PREVISTO 2026'!$S$102</f>
        <v>2304.2249999999999</v>
      </c>
      <c r="O103" s="3">
        <f>'REALIZADO 2025'!O99*'PREVISTO 2026'!$S$102</f>
        <v>2304.2249999999999</v>
      </c>
      <c r="P103" s="4">
        <f t="shared" ref="P103:P109" si="18">SUM(D103:O103)</f>
        <v>32003.344449999993</v>
      </c>
      <c r="Q103" s="25">
        <f t="shared" si="13"/>
        <v>2666.9453708333326</v>
      </c>
      <c r="R103" s="5"/>
    </row>
    <row r="104" spans="1:19" ht="12">
      <c r="A104" s="69" t="s">
        <v>94</v>
      </c>
      <c r="B104" s="69"/>
      <c r="C104" s="69"/>
      <c r="D104" s="3">
        <f>'REALIZADO 2025'!D100*'PREVISTO 2026'!$S$102</f>
        <v>2951.08</v>
      </c>
      <c r="E104" s="3">
        <f>'REALIZADO 2025'!E100*'PREVISTO 2026'!$S$102</f>
        <v>3172.62</v>
      </c>
      <c r="F104" s="3">
        <f>'REALIZADO 2025'!F100*'PREVISTO 2026'!$S$102</f>
        <v>3172.62</v>
      </c>
      <c r="G104" s="3">
        <f>'REALIZADO 2025'!G100*'PREVISTO 2026'!$S$102</f>
        <v>3172.62</v>
      </c>
      <c r="H104" s="3">
        <f>'REALIZADO 2025'!H100*'PREVISTO 2026'!$S$102</f>
        <v>3172.62</v>
      </c>
      <c r="I104" s="3">
        <f>'REALIZADO 2025'!I100*'PREVISTO 2026'!$S$102</f>
        <v>3172.62</v>
      </c>
      <c r="J104" s="3">
        <f>'REALIZADO 2025'!J100*'PREVISTO 2026'!$S$102</f>
        <v>3172.62</v>
      </c>
      <c r="K104" s="3">
        <f>'REALIZADO 2025'!K100*'PREVISTO 2026'!$S$102</f>
        <v>3172.62</v>
      </c>
      <c r="L104" s="3">
        <f>'REALIZADO 2025'!L100*'PREVISTO 2026'!$S$102</f>
        <v>3172.62</v>
      </c>
      <c r="M104" s="3">
        <f>'REALIZADO 2025'!M100*'PREVISTO 2026'!$S$102</f>
        <v>3172.62</v>
      </c>
      <c r="N104" s="3">
        <f>'REALIZADO 2025'!N100*'PREVISTO 2026'!$S$102</f>
        <v>3172.62</v>
      </c>
      <c r="O104" s="3">
        <f>'REALIZADO 2025'!O100*'PREVISTO 2026'!$S$102</f>
        <v>3172.62</v>
      </c>
      <c r="P104" s="4">
        <f t="shared" si="18"/>
        <v>37849.899999999994</v>
      </c>
      <c r="Q104" s="25">
        <f t="shared" si="13"/>
        <v>3154.1583333333328</v>
      </c>
      <c r="R104" s="5"/>
    </row>
    <row r="105" spans="1:19" ht="12">
      <c r="A105" s="69" t="s">
        <v>95</v>
      </c>
      <c r="B105" s="69"/>
      <c r="C105" s="69"/>
      <c r="D105" s="3">
        <f>'REALIZADO 2025'!D101*'PREVISTO 2026'!$S$102</f>
        <v>4270.2671</v>
      </c>
      <c r="E105" s="3">
        <f>'REALIZADO 2025'!E101*'PREVISTO 2026'!$S$102</f>
        <v>3642.0444499999999</v>
      </c>
      <c r="F105" s="3">
        <f>'REALIZADO 2025'!F101*'PREVISTO 2026'!$S$102</f>
        <v>2614.7885499999998</v>
      </c>
      <c r="G105" s="3">
        <f>'REALIZADO 2025'!G101*'PREVISTO 2026'!$S$102</f>
        <v>2692.4738499999999</v>
      </c>
      <c r="H105" s="3">
        <f>'REALIZADO 2025'!H101*'PREVISTO 2026'!$S$102</f>
        <v>2692.4633999999996</v>
      </c>
      <c r="I105" s="3">
        <f>'REALIZADO 2025'!I101*'PREVISTO 2026'!$S$102</f>
        <v>3530.1667499999999</v>
      </c>
      <c r="J105" s="3">
        <f>'REALIZADO 2025'!J101*'PREVISTO 2026'!$S$102</f>
        <v>2792.24</v>
      </c>
      <c r="K105" s="3">
        <f>'REALIZADO 2025'!K101*'PREVISTO 2026'!$S$102</f>
        <v>3253.0849999999996</v>
      </c>
      <c r="L105" s="3">
        <f>'REALIZADO 2025'!L101*'PREVISTO 2026'!$S$102</f>
        <v>2864.3449999999998</v>
      </c>
      <c r="M105" s="3">
        <f>'REALIZADO 2025'!M101*'PREVISTO 2026'!$S$102</f>
        <v>2957.35</v>
      </c>
      <c r="N105" s="3">
        <f>'REALIZADO 2025'!N101*'PREVISTO 2026'!$S$102</f>
        <v>3245.77</v>
      </c>
      <c r="O105" s="3">
        <f>'REALIZADO 2025'!O101*'PREVISTO 2026'!$S$102</f>
        <v>4425.0524999999998</v>
      </c>
      <c r="P105" s="4">
        <f t="shared" si="18"/>
        <v>38980.046599999994</v>
      </c>
      <c r="Q105" s="25">
        <f t="shared" si="13"/>
        <v>3248.3372166666663</v>
      </c>
      <c r="R105" s="5"/>
    </row>
    <row r="106" spans="1:19" ht="12">
      <c r="A106" s="69" t="s">
        <v>96</v>
      </c>
      <c r="B106" s="69"/>
      <c r="C106" s="69"/>
      <c r="D106" s="3">
        <f>'REALIZADO 2025'!D102*'PREVISTO 2026'!$S$102</f>
        <v>58965.410349999998</v>
      </c>
      <c r="E106" s="3">
        <f>'REALIZADO 2025'!E102*'PREVISTO 2026'!$S$102</f>
        <v>58988.8079</v>
      </c>
      <c r="F106" s="3">
        <f>'REALIZADO 2025'!F102*'PREVISTO 2026'!$S$102</f>
        <v>58988.8079</v>
      </c>
      <c r="G106" s="3">
        <f>'REALIZADO 2025'!G102*'PREVISTO 2026'!$S$102</f>
        <v>54895.689200000001</v>
      </c>
      <c r="H106" s="3">
        <f>'REALIZADO 2025'!H102*'PREVISTO 2026'!$S$102</f>
        <v>69237.739450000008</v>
      </c>
      <c r="I106" s="3">
        <f>'REALIZADO 2025'!I102*'PREVISTO 2026'!$S$102</f>
        <v>68417.163650000002</v>
      </c>
      <c r="J106" s="3">
        <f>'REALIZADO 2025'!J102*'PREVISTO 2026'!$S$102</f>
        <v>64109.025749999993</v>
      </c>
      <c r="K106" s="3">
        <f>'REALIZADO 2025'!K102*'PREVISTO 2026'!$S$102</f>
        <v>64109.025749999993</v>
      </c>
      <c r="L106" s="3">
        <f>'REALIZADO 2025'!L102*'PREVISTO 2026'!$S$102</f>
        <v>64109.025749999993</v>
      </c>
      <c r="M106" s="3">
        <f>'REALIZADO 2025'!M102*'PREVISTO 2026'!$S$102</f>
        <v>64109.036199999995</v>
      </c>
      <c r="N106" s="3">
        <f>'REALIZADO 2025'!N102*'PREVISTO 2026'!$S$102</f>
        <v>64109.036199999995</v>
      </c>
      <c r="O106" s="3">
        <f>'REALIZADO 2025'!O102*'PREVISTO 2026'!$S$102</f>
        <v>64109.025749999993</v>
      </c>
      <c r="P106" s="4">
        <f t="shared" si="18"/>
        <v>754147.7938499999</v>
      </c>
      <c r="Q106" s="25">
        <f t="shared" si="13"/>
        <v>62845.649487499992</v>
      </c>
      <c r="R106" s="5"/>
    </row>
    <row r="107" spans="1:19" ht="12">
      <c r="A107" s="69" t="s">
        <v>97</v>
      </c>
      <c r="B107" s="69"/>
      <c r="C107" s="69"/>
      <c r="D107" s="3">
        <f>'REALIZADO 2025'!D103*'PREVISTO 2026'!$S$102</f>
        <v>0</v>
      </c>
      <c r="E107" s="3">
        <f>'REALIZADO 2025'!E103*'PREVISTO 2026'!$S$102</f>
        <v>0</v>
      </c>
      <c r="F107" s="3">
        <f>'REALIZADO 2025'!F103*'PREVISTO 2026'!$S$102</f>
        <v>0</v>
      </c>
      <c r="G107" s="3">
        <f>'REALIZADO 2025'!G103*'PREVISTO 2026'!$S$102</f>
        <v>0</v>
      </c>
      <c r="H107" s="3">
        <f>'REALIZADO 2025'!H103*'PREVISTO 2026'!$S$102</f>
        <v>0</v>
      </c>
      <c r="I107" s="3">
        <f>'REALIZADO 2025'!I103*'PREVISTO 2026'!$S$102</f>
        <v>0</v>
      </c>
      <c r="J107" s="3">
        <f>'REALIZADO 2025'!J103*'PREVISTO 2026'!$S$102</f>
        <v>0</v>
      </c>
      <c r="K107" s="3">
        <f>'REALIZADO 2025'!K103*'PREVISTO 2026'!$S$102</f>
        <v>5198.875</v>
      </c>
      <c r="L107" s="3">
        <f>'REALIZADO 2025'!L103*'PREVISTO 2026'!$S$102</f>
        <v>627</v>
      </c>
      <c r="M107" s="3">
        <f>'REALIZADO 2025'!M103*'PREVISTO 2026'!$S$102</f>
        <v>0</v>
      </c>
      <c r="N107" s="3">
        <f>'REALIZADO 2025'!N103*'PREVISTO 2026'!$S$102</f>
        <v>4702.5</v>
      </c>
      <c r="O107" s="3">
        <f>'REALIZADO 2025'!O103*'PREVISTO 2026'!$S$102</f>
        <v>0</v>
      </c>
      <c r="P107" s="4">
        <f t="shared" si="18"/>
        <v>10528.375</v>
      </c>
      <c r="Q107" s="25">
        <f t="shared" si="13"/>
        <v>877.36458333333337</v>
      </c>
      <c r="R107" s="5"/>
    </row>
    <row r="108" spans="1:19" ht="12">
      <c r="A108" s="69" t="s">
        <v>98</v>
      </c>
      <c r="B108" s="69"/>
      <c r="C108" s="69"/>
      <c r="D108" s="3">
        <f>'REALIZADO 2025'!D104*'PREVISTO 2026'!$S$102</f>
        <v>2508</v>
      </c>
      <c r="E108" s="3">
        <f>'REALIZADO 2025'!E104*'PREVISTO 2026'!$S$102</f>
        <v>679.25</v>
      </c>
      <c r="F108" s="3">
        <f>'REALIZADO 2025'!F104*'PREVISTO 2026'!$S$102</f>
        <v>476.01839999999993</v>
      </c>
      <c r="G108" s="3">
        <f>'REALIZADO 2025'!G104*'PREVISTO 2026'!$S$102</f>
        <v>313.5</v>
      </c>
      <c r="H108" s="3">
        <f>'REALIZADO 2025'!H104*'PREVISTO 2026'!$S$102</f>
        <v>0</v>
      </c>
      <c r="I108" s="3">
        <f>'REALIZADO 2025'!I104*'PREVISTO 2026'!$S$102</f>
        <v>2164.0277999999998</v>
      </c>
      <c r="J108" s="3">
        <f>'REALIZADO 2025'!J104*'PREVISTO 2026'!$S$102</f>
        <v>746.54799999999989</v>
      </c>
      <c r="K108" s="3">
        <f>'REALIZADO 2025'!K104*'PREVISTO 2026'!$S$102</f>
        <v>1567.5</v>
      </c>
      <c r="L108" s="3">
        <f>'REALIZADO 2025'!L104*'PREVISTO 2026'!$S$102</f>
        <v>0</v>
      </c>
      <c r="M108" s="3">
        <f>'REALIZADO 2025'!M104*'PREVISTO 2026'!$S$102</f>
        <v>418</v>
      </c>
      <c r="N108" s="3">
        <f>'REALIZADO 2025'!N104*'PREVISTO 2026'!$S$102</f>
        <v>0</v>
      </c>
      <c r="O108" s="3">
        <f>'REALIZADO 2025'!O104*'PREVISTO 2026'!$S$102</f>
        <v>418</v>
      </c>
      <c r="P108" s="4">
        <f t="shared" si="18"/>
        <v>9290.8441999999995</v>
      </c>
      <c r="Q108" s="25">
        <f t="shared" si="13"/>
        <v>774.23701666666659</v>
      </c>
      <c r="R108" s="5"/>
    </row>
    <row r="109" spans="1:19" ht="12">
      <c r="A109" s="69" t="s">
        <v>99</v>
      </c>
      <c r="B109" s="69"/>
      <c r="C109" s="69"/>
      <c r="D109" s="3">
        <f>'REALIZADO 2025'!D106*'PREVISTO 2026'!$S$102</f>
        <v>1250.3425</v>
      </c>
      <c r="E109" s="3">
        <f>'REALIZADO 2025'!E106*'PREVISTO 2026'!$S$102</f>
        <v>1250.3425</v>
      </c>
      <c r="F109" s="3">
        <f>'REALIZADO 2025'!F106*'PREVISTO 2026'!$S$102</f>
        <v>1250.3425</v>
      </c>
      <c r="G109" s="3">
        <f>'REALIZADO 2025'!G106*'PREVISTO 2026'!$S$102</f>
        <v>0</v>
      </c>
      <c r="H109" s="3">
        <f>'REALIZADO 2025'!H106*'PREVISTO 2026'!$S$102</f>
        <v>1316.6999999999998</v>
      </c>
      <c r="I109" s="3">
        <f>'REALIZADO 2025'!I106*'PREVISTO 2026'!$S$102</f>
        <v>0</v>
      </c>
      <c r="J109" s="3">
        <f>'REALIZADO 2025'!J106*'PREVISTO 2026'!$S$102</f>
        <v>5816.4699999999993</v>
      </c>
      <c r="K109" s="3">
        <f>'REALIZADO 2025'!K106*'PREVISTO 2026'!$S$102</f>
        <v>0</v>
      </c>
      <c r="L109" s="3">
        <f>'REALIZADO 2025'!L106*'PREVISTO 2026'!$S$102</f>
        <v>7884.5249999999996</v>
      </c>
      <c r="M109" s="3">
        <f>'REALIZADO 2025'!M106*'PREVISTO 2026'!$S$102</f>
        <v>5016</v>
      </c>
      <c r="N109" s="3">
        <f>'REALIZADO 2025'!N106*'PREVISTO 2026'!$S$102</f>
        <v>5016</v>
      </c>
      <c r="O109" s="3">
        <f>'REALIZADO 2025'!O106*'PREVISTO 2026'!$S$102</f>
        <v>5016</v>
      </c>
      <c r="P109" s="4">
        <f t="shared" si="18"/>
        <v>33816.722499999996</v>
      </c>
      <c r="Q109" s="25">
        <f t="shared" si="13"/>
        <v>2818.0602083333329</v>
      </c>
      <c r="R109" s="5"/>
    </row>
    <row r="110" spans="1:19" ht="12">
      <c r="A110" s="74" t="s">
        <v>100</v>
      </c>
      <c r="B110" s="74"/>
      <c r="C110" s="74"/>
      <c r="D110" s="8">
        <f>SUM(D111:D122)</f>
        <v>15905.234399999999</v>
      </c>
      <c r="E110" s="8">
        <f t="shared" ref="E110:O110" si="19">SUM(E111:E122)</f>
        <v>21901.245849999992</v>
      </c>
      <c r="F110" s="8">
        <f t="shared" si="19"/>
        <v>21263.147949999995</v>
      </c>
      <c r="G110" s="8">
        <f t="shared" si="19"/>
        <v>9530.8075499999995</v>
      </c>
      <c r="H110" s="8">
        <f t="shared" si="19"/>
        <v>35037.606450000007</v>
      </c>
      <c r="I110" s="8">
        <f t="shared" si="19"/>
        <v>20789.78385</v>
      </c>
      <c r="J110" s="8">
        <f t="shared" si="19"/>
        <v>22684.745049999998</v>
      </c>
      <c r="K110" s="8">
        <f t="shared" si="19"/>
        <v>22941.177599999999</v>
      </c>
      <c r="L110" s="8">
        <f t="shared" si="19"/>
        <v>16472.094650000003</v>
      </c>
      <c r="M110" s="8">
        <f t="shared" si="19"/>
        <v>20030.570449999999</v>
      </c>
      <c r="N110" s="8">
        <f t="shared" si="19"/>
        <v>22049.207399999996</v>
      </c>
      <c r="O110" s="8">
        <f t="shared" si="19"/>
        <v>10774.179899999997</v>
      </c>
      <c r="P110" s="9">
        <f>SUM(P111:P122)</f>
        <v>167560.79994999999</v>
      </c>
      <c r="Q110" s="28">
        <f>P110/12</f>
        <v>13963.399995833332</v>
      </c>
      <c r="R110" s="12" t="s">
        <v>18</v>
      </c>
      <c r="S110" s="13">
        <v>1.0449999999999999</v>
      </c>
    </row>
    <row r="111" spans="1:19" ht="12">
      <c r="A111" s="69" t="s">
        <v>101</v>
      </c>
      <c r="B111" s="69"/>
      <c r="C111" s="69"/>
      <c r="D111" s="3">
        <f>'REALIZADO 2025'!D109*'PREVISTO 2026'!$S$110</f>
        <v>11147.161299999998</v>
      </c>
      <c r="E111" s="3">
        <f>'REALIZADO 2025'!E109*'PREVISTO 2026'!$S$110</f>
        <v>13803.467699999999</v>
      </c>
      <c r="F111" s="3">
        <f>'REALIZADO 2025'!F109*'PREVISTO 2026'!$S$110</f>
        <v>13427.445349999998</v>
      </c>
      <c r="G111" s="3">
        <f>'REALIZADO 2025'!G109*'PREVISTO 2026'!$S$110</f>
        <v>0</v>
      </c>
      <c r="H111" s="3">
        <f>'REALIZADO 2025'!H109*'PREVISTO 2026'!$S$110</f>
        <v>28468.809600000001</v>
      </c>
      <c r="I111" s="3">
        <f>'REALIZADO 2025'!I109*'PREVISTO 2026'!$S$110</f>
        <v>12181.690399999999</v>
      </c>
      <c r="J111" s="3">
        <f>'REALIZADO 2025'!J109*'PREVISTO 2026'!$S$110</f>
        <v>11368.02205</v>
      </c>
      <c r="K111" s="3">
        <f>'REALIZADO 2025'!K109*'PREVISTO 2026'!$S$110</f>
        <v>12092.41605</v>
      </c>
      <c r="L111" s="3">
        <f>'REALIZADO 2025'!L109*'PREVISTO 2026'!$S$110</f>
        <v>10096.90495</v>
      </c>
      <c r="M111" s="3">
        <f>'REALIZADO 2025'!M109*'PREVISTO 2026'!$S$110</f>
        <v>11488.604599999999</v>
      </c>
      <c r="N111" s="3">
        <f>'REALIZADO 2025'!N109*'PREVISTO 2026'!$S$110</f>
        <v>10722.0762</v>
      </c>
      <c r="O111" s="3">
        <f>'REALIZADO 2025'!O109*'PREVISTO 2026'!$S$110</f>
        <v>3925.4797999999996</v>
      </c>
      <c r="P111" s="4">
        <v>70000</v>
      </c>
      <c r="Q111" s="25">
        <f t="shared" si="13"/>
        <v>5833.333333333333</v>
      </c>
      <c r="R111" s="5"/>
    </row>
    <row r="112" spans="1:19" ht="12">
      <c r="A112" s="69" t="s">
        <v>102</v>
      </c>
      <c r="B112" s="69"/>
      <c r="C112" s="69"/>
      <c r="D112" s="3">
        <f>'REALIZADO 2025'!D110*'PREVISTO 2026'!$S$110</f>
        <v>1863.7366</v>
      </c>
      <c r="E112" s="3">
        <f>'REALIZADO 2025'!E110*'PREVISTO 2026'!$S$110</f>
        <v>1517.8625</v>
      </c>
      <c r="F112" s="3">
        <f>'REALIZADO 2025'!F110*'PREVISTO 2026'!$S$110</f>
        <v>2064.8155000000002</v>
      </c>
      <c r="G112" s="3">
        <f>'REALIZADO 2025'!G110*'PREVISTO 2026'!$S$110</f>
        <v>2181.1239999999998</v>
      </c>
      <c r="H112" s="3">
        <f>'REALIZADO 2025'!H110*'PREVISTO 2026'!$S$110</f>
        <v>1091.8264499999998</v>
      </c>
      <c r="I112" s="3">
        <f>'REALIZADO 2025'!I110*'PREVISTO 2026'!$S$110</f>
        <v>2025.4085499999999</v>
      </c>
      <c r="J112" s="3">
        <f>'REALIZADO 2025'!J110*'PREVISTO 2026'!$S$110</f>
        <v>5704.5504999999994</v>
      </c>
      <c r="K112" s="3">
        <f>'REALIZADO 2025'!K110*'PREVISTO 2026'!$S$110</f>
        <v>2946.6909999999998</v>
      </c>
      <c r="L112" s="3">
        <f>'REALIZADO 2025'!L110*'PREVISTO 2026'!$S$110</f>
        <v>0</v>
      </c>
      <c r="M112" s="3">
        <f>'REALIZADO 2025'!M110*'PREVISTO 2026'!$S$110</f>
        <v>3531.4938999999999</v>
      </c>
      <c r="N112" s="3">
        <f>'REALIZADO 2025'!N110*'PREVISTO 2026'!$S$110</f>
        <v>2828.6791499999995</v>
      </c>
      <c r="O112" s="3">
        <f>'REALIZADO 2025'!O110*'PREVISTO 2026'!$S$110</f>
        <v>1340.7349999999999</v>
      </c>
      <c r="P112" s="4">
        <v>24000</v>
      </c>
      <c r="Q112" s="25">
        <f t="shared" si="13"/>
        <v>2000</v>
      </c>
      <c r="R112" s="5"/>
    </row>
    <row r="113" spans="1:19" ht="12">
      <c r="A113" s="69" t="s">
        <v>103</v>
      </c>
      <c r="B113" s="69"/>
      <c r="C113" s="69"/>
      <c r="D113" s="3">
        <f>'REALIZADO 2025'!D111*'PREVISTO 2026'!$S$110</f>
        <v>0</v>
      </c>
      <c r="E113" s="3">
        <f>'REALIZADO 2025'!E111*'PREVISTO 2026'!$S$110</f>
        <v>0</v>
      </c>
      <c r="F113" s="3">
        <f>'REALIZADO 2025'!F111*'PREVISTO 2026'!$S$110</f>
        <v>276.19349999999997</v>
      </c>
      <c r="G113" s="3">
        <f>'REALIZADO 2025'!G111*'PREVISTO 2026'!$S$110</f>
        <v>64.319749999999999</v>
      </c>
      <c r="H113" s="3">
        <f>'REALIZADO 2025'!H111*'PREVISTO 2026'!$S$110</f>
        <v>0</v>
      </c>
      <c r="I113" s="3">
        <f>'REALIZADO 2025'!I111*'PREVISTO 2026'!$S$110</f>
        <v>1661.55</v>
      </c>
      <c r="J113" s="3">
        <f>'REALIZADO 2025'!J111*'PREVISTO 2026'!$S$110</f>
        <v>852.71999999999991</v>
      </c>
      <c r="K113" s="3">
        <f>'REALIZADO 2025'!K111*'PREVISTO 2026'!$S$110</f>
        <v>2309.4499999999998</v>
      </c>
      <c r="L113" s="3">
        <f>'REALIZADO 2025'!L111*'PREVISTO 2026'!$S$110</f>
        <v>1546.6</v>
      </c>
      <c r="M113" s="3">
        <f>'REALIZADO 2025'!M111*'PREVISTO 2026'!$S$110</f>
        <v>129.39189999999999</v>
      </c>
      <c r="N113" s="3">
        <f>'REALIZADO 2025'!N111*'PREVISTO 2026'!$S$110</f>
        <v>1546.6</v>
      </c>
      <c r="O113" s="3">
        <f>'REALIZADO 2025'!O111*'PREVISTO 2026'!$S$110</f>
        <v>0</v>
      </c>
      <c r="P113" s="4">
        <f t="shared" ref="P113:P141" si="20">SUM(D113:O113)</f>
        <v>8386.8251499999988</v>
      </c>
      <c r="Q113" s="25">
        <f t="shared" si="13"/>
        <v>698.90209583333319</v>
      </c>
      <c r="R113" s="5"/>
    </row>
    <row r="114" spans="1:19" ht="12">
      <c r="A114" s="69" t="s">
        <v>104</v>
      </c>
      <c r="B114" s="69"/>
      <c r="C114" s="69"/>
      <c r="D114" s="3">
        <f>'REALIZADO 2025'!D112*'PREVISTO 2026'!$S$110</f>
        <v>169.6035</v>
      </c>
      <c r="E114" s="3">
        <f>'REALIZADO 2025'!E112*'PREVISTO 2026'!$S$110</f>
        <v>366.32474999999999</v>
      </c>
      <c r="F114" s="3">
        <f>'REALIZADO 2025'!F112*'PREVISTO 2026'!$S$110</f>
        <v>196.72125</v>
      </c>
      <c r="G114" s="3">
        <f>'REALIZADO 2025'!G112*'PREVISTO 2026'!$S$110</f>
        <v>169.6035</v>
      </c>
      <c r="H114" s="3">
        <f>'REALIZADO 2025'!H112*'PREVISTO 2026'!$S$110</f>
        <v>169.6035</v>
      </c>
      <c r="I114" s="3">
        <f>'REALIZADO 2025'!I112*'PREVISTO 2026'!$S$110</f>
        <v>0</v>
      </c>
      <c r="J114" s="3">
        <f>'REALIZADO 2025'!J112*'PREVISTO 2026'!$S$110</f>
        <v>0</v>
      </c>
      <c r="K114" s="3">
        <f>'REALIZADO 2025'!K112*'PREVISTO 2026'!$S$110</f>
        <v>182.56149999999997</v>
      </c>
      <c r="L114" s="3">
        <f>'REALIZADO 2025'!L112*'PREVISTO 2026'!$S$110</f>
        <v>196.251</v>
      </c>
      <c r="M114" s="3">
        <f>'REALIZADO 2025'!M112*'PREVISTO 2026'!$S$110</f>
        <v>0</v>
      </c>
      <c r="N114" s="3">
        <f>'REALIZADO 2025'!N112*'PREVISTO 2026'!$S$110</f>
        <v>0</v>
      </c>
      <c r="O114" s="3">
        <f>'REALIZADO 2025'!O112*'PREVISTO 2026'!$S$110</f>
        <v>0</v>
      </c>
      <c r="P114" s="4">
        <f t="shared" si="20"/>
        <v>1450.6689999999999</v>
      </c>
      <c r="Q114" s="25">
        <f t="shared" si="13"/>
        <v>120.88908333333332</v>
      </c>
      <c r="R114" s="5"/>
    </row>
    <row r="115" spans="1:19" ht="12">
      <c r="A115" s="69" t="s">
        <v>105</v>
      </c>
      <c r="B115" s="69"/>
      <c r="C115" s="69"/>
      <c r="D115" s="3">
        <f>'REALIZADO 2025'!D113*'PREVISTO 2026'!$S$110</f>
        <v>0</v>
      </c>
      <c r="E115" s="3">
        <f>'REALIZADO 2025'!E113*'PREVISTO 2026'!$S$110</f>
        <v>2439.7823999999996</v>
      </c>
      <c r="F115" s="3">
        <f>'REALIZADO 2025'!F113*'PREVISTO 2026'!$S$110</f>
        <v>2439.7823999999996</v>
      </c>
      <c r="G115" s="3">
        <f>'REALIZADO 2025'!G113*'PREVISTO 2026'!$S$110</f>
        <v>2439.7823999999996</v>
      </c>
      <c r="H115" s="3">
        <f>'REALIZADO 2025'!H113*'PREVISTO 2026'!$S$110</f>
        <v>2439.7823999999996</v>
      </c>
      <c r="I115" s="3">
        <f>'REALIZADO 2025'!I113*'PREVISTO 2026'!$S$110</f>
        <v>2439.7823999999996</v>
      </c>
      <c r="J115" s="3">
        <f>'REALIZADO 2025'!J113*'PREVISTO 2026'!$S$110</f>
        <v>2439.7823999999996</v>
      </c>
      <c r="K115" s="3">
        <f>'REALIZADO 2025'!K113*'PREVISTO 2026'!$S$110</f>
        <v>2439.7823999999996</v>
      </c>
      <c r="L115" s="3">
        <f>'REALIZADO 2025'!L113*'PREVISTO 2026'!$S$110</f>
        <v>2439.7823999999996</v>
      </c>
      <c r="M115" s="3">
        <f>'REALIZADO 2025'!M113*'PREVISTO 2026'!$S$110</f>
        <v>2439.7823999999996</v>
      </c>
      <c r="N115" s="3">
        <f>'REALIZADO 2025'!N113*'PREVISTO 2026'!$S$110</f>
        <v>2649.4512</v>
      </c>
      <c r="O115" s="3">
        <f>'REALIZADO 2025'!O113*'PREVISTO 2026'!$S$110</f>
        <v>2649.4512</v>
      </c>
      <c r="P115" s="4">
        <f t="shared" si="20"/>
        <v>27256.943999999996</v>
      </c>
      <c r="Q115" s="25">
        <f t="shared" si="13"/>
        <v>2271.4119999999998</v>
      </c>
      <c r="R115" s="5"/>
    </row>
    <row r="116" spans="1:19" ht="12">
      <c r="A116" s="69" t="s">
        <v>106</v>
      </c>
      <c r="B116" s="69"/>
      <c r="C116" s="69"/>
      <c r="D116" s="3">
        <f>'REALIZADO 2025'!D114*'PREVISTO 2026'!$S$110</f>
        <v>102.8489</v>
      </c>
      <c r="E116" s="3">
        <f>'REALIZADO 2025'!E114*'PREVISTO 2026'!$S$110</f>
        <v>105.09564999999999</v>
      </c>
      <c r="F116" s="3">
        <f>'REALIZADO 2025'!F114*'PREVISTO 2026'!$S$110</f>
        <v>104.92844999999998</v>
      </c>
      <c r="G116" s="3">
        <f>'REALIZADO 2025'!G114*'PREVISTO 2026'!$S$110</f>
        <v>104.92844999999998</v>
      </c>
      <c r="H116" s="3">
        <f>'REALIZADO 2025'!H114*'PREVISTO 2026'!$S$110</f>
        <v>102.8489</v>
      </c>
      <c r="I116" s="3">
        <f>'REALIZADO 2025'!I114*'PREVISTO 2026'!$S$110</f>
        <v>0</v>
      </c>
      <c r="J116" s="3">
        <f>'REALIZADO 2025'!J114*'PREVISTO 2026'!$S$110</f>
        <v>102.8489</v>
      </c>
      <c r="K116" s="3">
        <f>'REALIZADO 2025'!K114*'PREVISTO 2026'!$S$110</f>
        <v>102.8489</v>
      </c>
      <c r="L116" s="3">
        <f>'REALIZADO 2025'!L114*'PREVISTO 2026'!$S$110</f>
        <v>102.8489</v>
      </c>
      <c r="M116" s="3">
        <f>'REALIZADO 2025'!M114*'PREVISTO 2026'!$S$110</f>
        <v>102.8489</v>
      </c>
      <c r="N116" s="3">
        <f>'REALIZADO 2025'!N114*'PREVISTO 2026'!$S$110</f>
        <v>102.8489</v>
      </c>
      <c r="O116" s="3">
        <f>'REALIZADO 2025'!O114*'PREVISTO 2026'!$S$110</f>
        <v>92.273499999999984</v>
      </c>
      <c r="P116" s="4">
        <f t="shared" si="20"/>
        <v>1127.1683499999999</v>
      </c>
      <c r="Q116" s="25">
        <f t="shared" si="13"/>
        <v>93.930695833333331</v>
      </c>
      <c r="R116" s="5"/>
    </row>
    <row r="117" spans="1:19" ht="12">
      <c r="A117" s="69" t="s">
        <v>107</v>
      </c>
      <c r="B117" s="69"/>
      <c r="C117" s="69"/>
      <c r="D117" s="3">
        <f>'REALIZADO 2025'!D115*'PREVISTO 2026'!$S$110</f>
        <v>208.98955000000001</v>
      </c>
      <c r="E117" s="3">
        <f>'REALIZADO 2025'!E115*'PREVISTO 2026'!$S$110</f>
        <v>594.66769999999985</v>
      </c>
      <c r="F117" s="3">
        <f>'REALIZADO 2025'!F115*'PREVISTO 2026'!$S$110</f>
        <v>188.39259999999999</v>
      </c>
      <c r="G117" s="3">
        <f>'REALIZADO 2025'!G115*'PREVISTO 2026'!$S$110</f>
        <v>619.47599999999989</v>
      </c>
      <c r="H117" s="3">
        <f>'REALIZADO 2025'!H115*'PREVISTO 2026'!$S$110</f>
        <v>411.88674999999995</v>
      </c>
      <c r="I117" s="3">
        <f>'REALIZADO 2025'!I115*'PREVISTO 2026'!$S$110</f>
        <v>197.48409999999998</v>
      </c>
      <c r="J117" s="3">
        <f>'REALIZADO 2025'!J115*'PREVISTO 2026'!$S$110</f>
        <v>312.36095</v>
      </c>
      <c r="K117" s="3">
        <f>'REALIZADO 2025'!K115*'PREVISTO 2026'!$S$110</f>
        <v>0</v>
      </c>
      <c r="L117" s="3">
        <f>'REALIZADO 2025'!L115*'PREVISTO 2026'!$S$110</f>
        <v>208.98955000000001</v>
      </c>
      <c r="M117" s="3">
        <f>'REALIZADO 2025'!M115*'PREVISTO 2026'!$S$110</f>
        <v>197.72444999999999</v>
      </c>
      <c r="N117" s="3">
        <f>'REALIZADO 2025'!N115*'PREVISTO 2026'!$S$110</f>
        <v>441.06314999999995</v>
      </c>
      <c r="O117" s="3">
        <f>'REALIZADO 2025'!O115*'PREVISTO 2026'!$S$110</f>
        <v>88.626449999999991</v>
      </c>
      <c r="P117" s="4">
        <f t="shared" si="20"/>
        <v>3469.6612500000001</v>
      </c>
      <c r="Q117" s="25">
        <f t="shared" si="13"/>
        <v>289.13843750000001</v>
      </c>
      <c r="R117" s="5"/>
    </row>
    <row r="118" spans="1:19" ht="12">
      <c r="A118" s="69" t="s">
        <v>108</v>
      </c>
      <c r="B118" s="69"/>
      <c r="C118" s="69"/>
      <c r="D118" s="3">
        <f>'REALIZADO 2025'!D116*'PREVISTO 2026'!$S$110</f>
        <v>0</v>
      </c>
      <c r="E118" s="3">
        <f>'REALIZADO 2025'!E116*'PREVISTO 2026'!$S$110</f>
        <v>128.21105</v>
      </c>
      <c r="F118" s="3">
        <f>'REALIZADO 2025'!F116*'PREVISTO 2026'!$S$110</f>
        <v>256.4221</v>
      </c>
      <c r="G118" s="3">
        <f>'REALIZADO 2025'!G116*'PREVISTO 2026'!$S$110</f>
        <v>9.5408500000000007</v>
      </c>
      <c r="H118" s="3">
        <f>'REALIZADO 2025'!H116*'PREVISTO 2026'!$S$110</f>
        <v>128.21105</v>
      </c>
      <c r="I118" s="3">
        <f>'REALIZADO 2025'!I116*'PREVISTO 2026'!$S$110</f>
        <v>140.35395</v>
      </c>
      <c r="J118" s="3">
        <f>'REALIZADO 2025'!J116*'PREVISTO 2026'!$S$110</f>
        <v>0</v>
      </c>
      <c r="K118" s="3">
        <f>'REALIZADO 2025'!K116*'PREVISTO 2026'!$S$110</f>
        <v>335.35095000000001</v>
      </c>
      <c r="L118" s="3">
        <f>'REALIZADO 2025'!L116*'PREVISTO 2026'!$S$110</f>
        <v>140.11359999999999</v>
      </c>
      <c r="M118" s="3">
        <f>'REALIZADO 2025'!M116*'PREVISTO 2026'!$S$110</f>
        <v>140.90779999999998</v>
      </c>
      <c r="N118" s="3">
        <f>'REALIZADO 2025'!N116*'PREVISTO 2026'!$S$110</f>
        <v>140.90779999999998</v>
      </c>
      <c r="O118" s="3">
        <f>'REALIZADO 2025'!O116*'PREVISTO 2026'!$S$110</f>
        <v>140.90779999999998</v>
      </c>
      <c r="P118" s="4">
        <f t="shared" si="20"/>
        <v>1560.9269499999998</v>
      </c>
      <c r="Q118" s="25">
        <f t="shared" si="13"/>
        <v>130.07724583333331</v>
      </c>
      <c r="R118" s="5"/>
    </row>
    <row r="119" spans="1:19" ht="12">
      <c r="A119" s="69" t="s">
        <v>109</v>
      </c>
      <c r="B119" s="69"/>
      <c r="C119" s="69"/>
      <c r="D119" s="3">
        <f>'REALIZADO 2025'!D117*'PREVISTO 2026'!$S$110</f>
        <v>101.25004999999999</v>
      </c>
      <c r="E119" s="3">
        <f>'REALIZADO 2025'!E117*'PREVISTO 2026'!$S$110</f>
        <v>101.25004999999999</v>
      </c>
      <c r="F119" s="3">
        <f>'REALIZADO 2025'!F117*'PREVISTO 2026'!$S$110</f>
        <v>101.25004999999999</v>
      </c>
      <c r="G119" s="3">
        <f>'REALIZADO 2025'!G117*'PREVISTO 2026'!$S$110</f>
        <v>101.25004999999999</v>
      </c>
      <c r="H119" s="3">
        <f>'REALIZADO 2025'!H117*'PREVISTO 2026'!$S$110</f>
        <v>0</v>
      </c>
      <c r="I119" s="3">
        <f>'REALIZADO 2025'!I117*'PREVISTO 2026'!$S$110</f>
        <v>550.70454999999993</v>
      </c>
      <c r="J119" s="3">
        <f>'REALIZADO 2025'!J117*'PREVISTO 2026'!$S$110</f>
        <v>137.75189999999998</v>
      </c>
      <c r="K119" s="3">
        <f>'REALIZADO 2025'!K117*'PREVISTO 2026'!$S$110</f>
        <v>352.46805000000001</v>
      </c>
      <c r="L119" s="3">
        <f>'REALIZADO 2025'!L117*'PREVISTO 2026'!$S$110</f>
        <v>97.007349999999988</v>
      </c>
      <c r="M119" s="3">
        <f>'REALIZADO 2025'!M117*'PREVISTO 2026'!$S$110</f>
        <v>310.67849999999999</v>
      </c>
      <c r="N119" s="3">
        <f>'REALIZADO 2025'!N117*'PREVISTO 2026'!$S$110</f>
        <v>208.98955000000001</v>
      </c>
      <c r="O119" s="3">
        <f>'REALIZADO 2025'!O117*'PREVISTO 2026'!$S$110</f>
        <v>308.93334999999996</v>
      </c>
      <c r="P119" s="4">
        <f t="shared" si="20"/>
        <v>2371.5334499999994</v>
      </c>
      <c r="Q119" s="25">
        <f t="shared" si="13"/>
        <v>197.62778749999995</v>
      </c>
      <c r="R119" s="5"/>
    </row>
    <row r="120" spans="1:19" ht="12">
      <c r="A120" s="69" t="s">
        <v>110</v>
      </c>
      <c r="B120" s="69"/>
      <c r="C120" s="69"/>
      <c r="D120" s="3">
        <f>'REALIZADO 2025'!D118*'PREVISTO 2026'!$S$110</f>
        <v>36.470499999999994</v>
      </c>
      <c r="E120" s="3">
        <f>'REALIZADO 2025'!E118*'PREVISTO 2026'!$S$110</f>
        <v>36.470499999999994</v>
      </c>
      <c r="F120" s="3">
        <f>'REALIZADO 2025'!F118*'PREVISTO 2026'!$S$110</f>
        <v>36.470499999999994</v>
      </c>
      <c r="G120" s="3">
        <f>'REALIZADO 2025'!G118*'PREVISTO 2026'!$S$110</f>
        <v>36.470499999999994</v>
      </c>
      <c r="H120" s="3">
        <f>'REALIZADO 2025'!H118*'PREVISTO 2026'!$S$110</f>
        <v>36.470499999999994</v>
      </c>
      <c r="I120" s="3">
        <f>'REALIZADO 2025'!I118*'PREVISTO 2026'!$S$110</f>
        <v>0</v>
      </c>
      <c r="J120" s="3">
        <f>'REALIZADO 2025'!J118*'PREVISTO 2026'!$S$110</f>
        <v>36.470499999999994</v>
      </c>
      <c r="K120" s="3">
        <f>'REALIZADO 2025'!K118*'PREVISTO 2026'!$S$110</f>
        <v>36.470499999999994</v>
      </c>
      <c r="L120" s="3">
        <f>'REALIZADO 2025'!L118*'PREVISTO 2026'!$S$110</f>
        <v>36.470499999999994</v>
      </c>
      <c r="M120" s="3">
        <f>'REALIZADO 2025'!M118*'PREVISTO 2026'!$S$110</f>
        <v>36.470499999999994</v>
      </c>
      <c r="N120" s="3">
        <f>'REALIZADO 2025'!N118*'PREVISTO 2026'!$S$110</f>
        <v>36.470499999999994</v>
      </c>
      <c r="O120" s="3">
        <f>'REALIZADO 2025'!O118*'PREVISTO 2026'!$S$110</f>
        <v>36.470499999999994</v>
      </c>
      <c r="P120" s="4">
        <f t="shared" si="20"/>
        <v>401.1755</v>
      </c>
      <c r="Q120" s="25">
        <f t="shared" si="13"/>
        <v>33.431291666666667</v>
      </c>
      <c r="R120" s="5"/>
    </row>
    <row r="121" spans="1:19" ht="12">
      <c r="A121" s="69" t="s">
        <v>111</v>
      </c>
      <c r="B121" s="69"/>
      <c r="C121" s="69"/>
      <c r="D121" s="3">
        <f>'REALIZADO 2025'!D119*'PREVISTO 2026'!$S$110</f>
        <v>762.84999999999991</v>
      </c>
      <c r="E121" s="3">
        <f>'REALIZADO 2025'!E119*'PREVISTO 2026'!$S$110</f>
        <v>0</v>
      </c>
      <c r="F121" s="3">
        <f>'REALIZADO 2025'!F119*'PREVISTO 2026'!$S$110</f>
        <v>0</v>
      </c>
      <c r="G121" s="3">
        <f>'REALIZADO 2025'!G119*'PREVISTO 2026'!$S$110</f>
        <v>893.47499999999991</v>
      </c>
      <c r="H121" s="3">
        <f>'REALIZADO 2025'!H119*'PREVISTO 2026'!$S$110</f>
        <v>0</v>
      </c>
      <c r="I121" s="3">
        <f>'REALIZADO 2025'!I119*'PREVISTO 2026'!$S$110</f>
        <v>0</v>
      </c>
      <c r="J121" s="3">
        <f>'REALIZADO 2025'!J119*'PREVISTO 2026'!$S$110</f>
        <v>0</v>
      </c>
      <c r="K121" s="3">
        <f>'REALIZADO 2025'!K119*'PREVISTO 2026'!$S$110</f>
        <v>893.47499999999991</v>
      </c>
      <c r="L121" s="3">
        <f>'REALIZADO 2025'!L119*'PREVISTO 2026'!$S$110</f>
        <v>0</v>
      </c>
      <c r="M121" s="3">
        <f>'REALIZADO 2025'!M119*'PREVISTO 2026'!$S$110</f>
        <v>0</v>
      </c>
      <c r="N121" s="3">
        <f>'REALIZADO 2025'!N119*'PREVISTO 2026'!$S$110</f>
        <v>893.47499999999991</v>
      </c>
      <c r="O121" s="3">
        <f>'REALIZADO 2025'!O119*'PREVISTO 2026'!$S$110</f>
        <v>0</v>
      </c>
      <c r="P121" s="4">
        <f t="shared" si="20"/>
        <v>3443.2749999999996</v>
      </c>
      <c r="Q121" s="25">
        <f t="shared" si="13"/>
        <v>286.9395833333333</v>
      </c>
      <c r="R121" s="5"/>
    </row>
    <row r="122" spans="1:19" ht="12">
      <c r="A122" s="69" t="s">
        <v>112</v>
      </c>
      <c r="B122" s="69"/>
      <c r="C122" s="69"/>
      <c r="D122" s="3">
        <f>'REALIZADO 2025'!D120*'PREVISTO 2026'!$S$110</f>
        <v>1512.3239999999998</v>
      </c>
      <c r="E122" s="3">
        <f>'REALIZADO 2025'!E120*'PREVISTO 2026'!$S$110</f>
        <v>2808.11355</v>
      </c>
      <c r="F122" s="3">
        <f>'REALIZADO 2025'!F120*'PREVISTO 2026'!$S$110</f>
        <v>2170.7262499999997</v>
      </c>
      <c r="G122" s="3">
        <f>'REALIZADO 2025'!G120*'PREVISTO 2026'!$S$110</f>
        <v>2910.8370499999996</v>
      </c>
      <c r="H122" s="3">
        <f>'REALIZADO 2025'!H120*'PREVISTO 2026'!$S$110</f>
        <v>2188.1673000000001</v>
      </c>
      <c r="I122" s="3">
        <f>'REALIZADO 2025'!I120*'PREVISTO 2026'!$S$110</f>
        <v>1592.8099</v>
      </c>
      <c r="J122" s="3">
        <f>'REALIZADO 2025'!J120*'PREVISTO 2026'!$S$110</f>
        <v>1730.23785</v>
      </c>
      <c r="K122" s="3">
        <f>'REALIZADO 2025'!K120*'PREVISTO 2026'!$S$110</f>
        <v>1249.6632499999998</v>
      </c>
      <c r="L122" s="3">
        <f>'REALIZADO 2025'!L120*'PREVISTO 2026'!$S$110</f>
        <v>1607.1263999999999</v>
      </c>
      <c r="M122" s="3">
        <f>'REALIZADO 2025'!M120*'PREVISTO 2026'!$S$110</f>
        <v>1652.6674999999998</v>
      </c>
      <c r="N122" s="3">
        <f>'REALIZADO 2025'!N120*'PREVISTO 2026'!$S$110</f>
        <v>2478.6459499999996</v>
      </c>
      <c r="O122" s="3">
        <f>'REALIZADO 2025'!O120*'PREVISTO 2026'!$S$110</f>
        <v>2191.3022999999998</v>
      </c>
      <c r="P122" s="4">
        <f t="shared" si="20"/>
        <v>24092.621299999995</v>
      </c>
      <c r="Q122" s="25">
        <f t="shared" si="13"/>
        <v>2007.7184416666662</v>
      </c>
      <c r="R122" s="5"/>
    </row>
    <row r="123" spans="1:19" ht="12" customHeight="1">
      <c r="A123" s="74" t="s">
        <v>151</v>
      </c>
      <c r="B123" s="93"/>
      <c r="C123" s="93"/>
      <c r="D123" s="8">
        <f>SUM(D124:D141)</f>
        <v>0</v>
      </c>
      <c r="E123" s="8">
        <f t="shared" ref="E123:O123" si="21">SUM(E124:E141)</f>
        <v>0</v>
      </c>
      <c r="F123" s="8">
        <f t="shared" si="21"/>
        <v>0</v>
      </c>
      <c r="G123" s="8">
        <f t="shared" si="21"/>
        <v>0</v>
      </c>
      <c r="H123" s="8">
        <f t="shared" si="21"/>
        <v>0</v>
      </c>
      <c r="I123" s="8">
        <f t="shared" si="21"/>
        <v>0</v>
      </c>
      <c r="J123" s="8">
        <f t="shared" si="21"/>
        <v>0</v>
      </c>
      <c r="K123" s="8">
        <f t="shared" si="21"/>
        <v>0</v>
      </c>
      <c r="L123" s="8">
        <f t="shared" si="21"/>
        <v>0</v>
      </c>
      <c r="M123" s="8">
        <f t="shared" si="21"/>
        <v>0</v>
      </c>
      <c r="N123" s="8">
        <f t="shared" si="21"/>
        <v>0</v>
      </c>
      <c r="O123" s="8">
        <f t="shared" si="21"/>
        <v>0</v>
      </c>
      <c r="P123" s="9">
        <f t="shared" si="20"/>
        <v>0</v>
      </c>
      <c r="Q123" s="9">
        <f t="shared" si="13"/>
        <v>0</v>
      </c>
      <c r="R123" s="11"/>
      <c r="S123" s="14"/>
    </row>
    <row r="124" spans="1:19" ht="12" customHeight="1">
      <c r="A124" s="69" t="s">
        <v>152</v>
      </c>
      <c r="B124" s="92"/>
      <c r="C124" s="92"/>
      <c r="D124" s="6"/>
      <c r="E124" s="6"/>
      <c r="F124" s="6"/>
      <c r="G124" s="6"/>
      <c r="H124" s="6"/>
      <c r="I124" s="6"/>
      <c r="J124" s="4"/>
      <c r="K124" s="6"/>
      <c r="L124" s="6"/>
      <c r="M124" s="6"/>
      <c r="N124" s="6"/>
      <c r="O124" s="4"/>
      <c r="P124" s="4">
        <f t="shared" si="20"/>
        <v>0</v>
      </c>
      <c r="Q124" s="4">
        <f t="shared" si="13"/>
        <v>0</v>
      </c>
      <c r="R124" s="5"/>
    </row>
    <row r="125" spans="1:19" ht="12" customHeight="1">
      <c r="A125" s="69" t="s">
        <v>153</v>
      </c>
      <c r="B125" s="92"/>
      <c r="C125" s="92"/>
      <c r="D125" s="6"/>
      <c r="E125" s="6"/>
      <c r="F125" s="6"/>
      <c r="G125" s="6"/>
      <c r="H125" s="6"/>
      <c r="I125" s="6"/>
      <c r="J125" s="4"/>
      <c r="K125" s="6"/>
      <c r="L125" s="6"/>
      <c r="M125" s="6"/>
      <c r="N125" s="6"/>
      <c r="O125" s="4"/>
      <c r="P125" s="4">
        <f t="shared" si="20"/>
        <v>0</v>
      </c>
      <c r="Q125" s="4">
        <f t="shared" si="13"/>
        <v>0</v>
      </c>
      <c r="R125" s="5"/>
    </row>
    <row r="126" spans="1:19" ht="12" customHeight="1">
      <c r="A126" s="69" t="s">
        <v>154</v>
      </c>
      <c r="B126" s="92"/>
      <c r="C126" s="92"/>
      <c r="D126" s="6"/>
      <c r="E126" s="6"/>
      <c r="F126" s="6"/>
      <c r="G126" s="6"/>
      <c r="H126" s="6"/>
      <c r="I126" s="6"/>
      <c r="J126" s="4"/>
      <c r="K126" s="6"/>
      <c r="L126" s="6"/>
      <c r="M126" s="6"/>
      <c r="N126" s="6"/>
      <c r="O126" s="4"/>
      <c r="P126" s="4">
        <f t="shared" si="20"/>
        <v>0</v>
      </c>
      <c r="Q126" s="4">
        <f t="shared" si="13"/>
        <v>0</v>
      </c>
      <c r="R126" s="5"/>
    </row>
    <row r="127" spans="1:19" ht="12" customHeight="1">
      <c r="A127" s="69" t="s">
        <v>155</v>
      </c>
      <c r="B127" s="92"/>
      <c r="C127" s="92"/>
      <c r="D127" s="6"/>
      <c r="E127" s="6"/>
      <c r="F127" s="6"/>
      <c r="G127" s="6"/>
      <c r="H127" s="6"/>
      <c r="I127" s="6"/>
      <c r="J127" s="4"/>
      <c r="K127" s="6"/>
      <c r="L127" s="6"/>
      <c r="M127" s="6"/>
      <c r="N127" s="6"/>
      <c r="O127" s="4"/>
      <c r="P127" s="4">
        <f t="shared" si="20"/>
        <v>0</v>
      </c>
      <c r="Q127" s="4">
        <f t="shared" si="13"/>
        <v>0</v>
      </c>
      <c r="R127" s="5"/>
    </row>
    <row r="128" spans="1:19" ht="12" customHeight="1">
      <c r="A128" s="69" t="s">
        <v>156</v>
      </c>
      <c r="B128" s="92"/>
      <c r="C128" s="92"/>
      <c r="D128" s="6"/>
      <c r="E128" s="6"/>
      <c r="F128" s="6"/>
      <c r="G128" s="6"/>
      <c r="H128" s="6"/>
      <c r="I128" s="6"/>
      <c r="J128" s="4"/>
      <c r="K128" s="6"/>
      <c r="L128" s="6"/>
      <c r="M128" s="6"/>
      <c r="N128" s="6"/>
      <c r="O128" s="4"/>
      <c r="P128" s="4">
        <f t="shared" si="20"/>
        <v>0</v>
      </c>
      <c r="Q128" s="4">
        <f t="shared" si="13"/>
        <v>0</v>
      </c>
      <c r="R128" s="5"/>
    </row>
    <row r="129" spans="1:18" ht="12" customHeight="1">
      <c r="A129" s="69" t="s">
        <v>157</v>
      </c>
      <c r="B129" s="92"/>
      <c r="C129" s="92"/>
      <c r="D129" s="6"/>
      <c r="E129" s="6"/>
      <c r="F129" s="6"/>
      <c r="G129" s="6"/>
      <c r="H129" s="6"/>
      <c r="I129" s="6"/>
      <c r="J129" s="4"/>
      <c r="K129" s="6"/>
      <c r="L129" s="6"/>
      <c r="M129" s="6"/>
      <c r="N129" s="6"/>
      <c r="O129" s="4"/>
      <c r="P129" s="4">
        <f t="shared" si="20"/>
        <v>0</v>
      </c>
      <c r="Q129" s="4">
        <f t="shared" si="13"/>
        <v>0</v>
      </c>
      <c r="R129" s="5"/>
    </row>
    <row r="130" spans="1:18" ht="12" customHeight="1">
      <c r="A130" s="69" t="s">
        <v>158</v>
      </c>
      <c r="B130" s="92"/>
      <c r="C130" s="92"/>
      <c r="D130" s="6"/>
      <c r="E130" s="6"/>
      <c r="F130" s="6"/>
      <c r="G130" s="6"/>
      <c r="H130" s="6"/>
      <c r="I130" s="6"/>
      <c r="J130" s="4"/>
      <c r="K130" s="6"/>
      <c r="L130" s="6"/>
      <c r="M130" s="6"/>
      <c r="N130" s="6"/>
      <c r="O130" s="4"/>
      <c r="P130" s="4">
        <f t="shared" si="20"/>
        <v>0</v>
      </c>
      <c r="Q130" s="4">
        <f t="shared" si="13"/>
        <v>0</v>
      </c>
      <c r="R130" s="5"/>
    </row>
    <row r="131" spans="1:18" ht="12" customHeight="1">
      <c r="A131" s="69" t="s">
        <v>159</v>
      </c>
      <c r="B131" s="92"/>
      <c r="C131" s="92"/>
      <c r="D131" s="6"/>
      <c r="E131" s="6"/>
      <c r="F131" s="6"/>
      <c r="G131" s="6"/>
      <c r="H131" s="6"/>
      <c r="I131" s="6"/>
      <c r="J131" s="4"/>
      <c r="K131" s="6"/>
      <c r="L131" s="6"/>
      <c r="M131" s="6"/>
      <c r="N131" s="6"/>
      <c r="O131" s="4"/>
      <c r="P131" s="4">
        <f t="shared" si="20"/>
        <v>0</v>
      </c>
      <c r="Q131" s="4">
        <f t="shared" si="13"/>
        <v>0</v>
      </c>
      <c r="R131" s="5"/>
    </row>
    <row r="132" spans="1:18" ht="12" customHeight="1">
      <c r="A132" s="69" t="s">
        <v>160</v>
      </c>
      <c r="B132" s="92"/>
      <c r="C132" s="92"/>
      <c r="D132" s="6"/>
      <c r="E132" s="6"/>
      <c r="F132" s="6"/>
      <c r="G132" s="6"/>
      <c r="H132" s="6"/>
      <c r="I132" s="6"/>
      <c r="J132" s="4"/>
      <c r="K132" s="6"/>
      <c r="L132" s="6"/>
      <c r="M132" s="6"/>
      <c r="N132" s="6"/>
      <c r="O132" s="4"/>
      <c r="P132" s="4">
        <f t="shared" si="20"/>
        <v>0</v>
      </c>
      <c r="Q132" s="4">
        <f t="shared" si="13"/>
        <v>0</v>
      </c>
      <c r="R132" s="5"/>
    </row>
    <row r="133" spans="1:18" ht="12" customHeight="1">
      <c r="A133" s="69" t="s">
        <v>161</v>
      </c>
      <c r="B133" s="92"/>
      <c r="C133" s="92"/>
      <c r="D133" s="6"/>
      <c r="E133" s="6"/>
      <c r="F133" s="6"/>
      <c r="G133" s="6"/>
      <c r="H133" s="6"/>
      <c r="I133" s="6"/>
      <c r="J133" s="4"/>
      <c r="K133" s="6"/>
      <c r="L133" s="6"/>
      <c r="M133" s="6"/>
      <c r="N133" s="6"/>
      <c r="O133" s="4"/>
      <c r="P133" s="4">
        <f t="shared" si="20"/>
        <v>0</v>
      </c>
      <c r="Q133" s="4">
        <f t="shared" si="13"/>
        <v>0</v>
      </c>
      <c r="R133" s="5"/>
    </row>
    <row r="134" spans="1:18" ht="12" customHeight="1">
      <c r="A134" s="69" t="s">
        <v>162</v>
      </c>
      <c r="B134" s="92"/>
      <c r="C134" s="92"/>
      <c r="D134" s="6"/>
      <c r="E134" s="6"/>
      <c r="F134" s="6"/>
      <c r="G134" s="6"/>
      <c r="H134" s="6"/>
      <c r="I134" s="6"/>
      <c r="J134" s="4"/>
      <c r="K134" s="6"/>
      <c r="L134" s="6"/>
      <c r="M134" s="6"/>
      <c r="N134" s="6"/>
      <c r="O134" s="4"/>
      <c r="P134" s="4">
        <f t="shared" si="20"/>
        <v>0</v>
      </c>
      <c r="Q134" s="4">
        <f t="shared" ref="Q134:Q141" si="22">P134/12</f>
        <v>0</v>
      </c>
      <c r="R134" s="5"/>
    </row>
    <row r="135" spans="1:18" ht="12" customHeight="1">
      <c r="A135" s="69" t="s">
        <v>163</v>
      </c>
      <c r="B135" s="92"/>
      <c r="C135" s="92"/>
      <c r="D135" s="6"/>
      <c r="E135" s="6"/>
      <c r="F135" s="6"/>
      <c r="G135" s="6"/>
      <c r="H135" s="6"/>
      <c r="I135" s="6"/>
      <c r="J135" s="4"/>
      <c r="K135" s="6"/>
      <c r="L135" s="6"/>
      <c r="M135" s="6"/>
      <c r="N135" s="6"/>
      <c r="O135" s="4"/>
      <c r="P135" s="4">
        <f t="shared" si="20"/>
        <v>0</v>
      </c>
      <c r="Q135" s="4">
        <f t="shared" si="22"/>
        <v>0</v>
      </c>
      <c r="R135" s="5"/>
    </row>
    <row r="136" spans="1:18" ht="12" customHeight="1">
      <c r="A136" s="69" t="s">
        <v>164</v>
      </c>
      <c r="B136" s="92"/>
      <c r="C136" s="92"/>
      <c r="D136" s="6"/>
      <c r="E136" s="6"/>
      <c r="F136" s="6"/>
      <c r="G136" s="6"/>
      <c r="H136" s="6"/>
      <c r="I136" s="6"/>
      <c r="J136" s="4"/>
      <c r="K136" s="6"/>
      <c r="L136" s="6"/>
      <c r="M136" s="6"/>
      <c r="N136" s="6"/>
      <c r="O136" s="4"/>
      <c r="P136" s="4">
        <f t="shared" si="20"/>
        <v>0</v>
      </c>
      <c r="Q136" s="4">
        <f t="shared" si="22"/>
        <v>0</v>
      </c>
      <c r="R136" s="5"/>
    </row>
    <row r="137" spans="1:18" ht="12" customHeight="1">
      <c r="A137" s="69" t="s">
        <v>165</v>
      </c>
      <c r="B137" s="92"/>
      <c r="C137" s="92"/>
      <c r="D137" s="6"/>
      <c r="E137" s="6"/>
      <c r="F137" s="6"/>
      <c r="G137" s="6"/>
      <c r="H137" s="6"/>
      <c r="I137" s="6"/>
      <c r="J137" s="4"/>
      <c r="K137" s="6"/>
      <c r="L137" s="6"/>
      <c r="M137" s="6"/>
      <c r="N137" s="6"/>
      <c r="O137" s="4"/>
      <c r="P137" s="4">
        <f t="shared" si="20"/>
        <v>0</v>
      </c>
      <c r="Q137" s="4">
        <f t="shared" si="22"/>
        <v>0</v>
      </c>
      <c r="R137" s="5"/>
    </row>
    <row r="138" spans="1:18" ht="12" customHeight="1">
      <c r="A138" s="69" t="s">
        <v>166</v>
      </c>
      <c r="B138" s="92"/>
      <c r="C138" s="92"/>
      <c r="D138" s="6"/>
      <c r="E138" s="6"/>
      <c r="F138" s="6"/>
      <c r="G138" s="6"/>
      <c r="H138" s="6"/>
      <c r="I138" s="6"/>
      <c r="J138" s="4"/>
      <c r="K138" s="6"/>
      <c r="L138" s="6"/>
      <c r="M138" s="6"/>
      <c r="N138" s="6"/>
      <c r="O138" s="4"/>
      <c r="P138" s="4">
        <f t="shared" si="20"/>
        <v>0</v>
      </c>
      <c r="Q138" s="4">
        <f t="shared" si="22"/>
        <v>0</v>
      </c>
      <c r="R138" s="5"/>
    </row>
    <row r="139" spans="1:18" ht="12" customHeight="1">
      <c r="A139" s="69" t="s">
        <v>167</v>
      </c>
      <c r="B139" s="92"/>
      <c r="C139" s="92"/>
      <c r="D139" s="6"/>
      <c r="E139" s="6"/>
      <c r="F139" s="6"/>
      <c r="G139" s="6"/>
      <c r="H139" s="6"/>
      <c r="I139" s="6"/>
      <c r="J139" s="4"/>
      <c r="K139" s="6"/>
      <c r="L139" s="6"/>
      <c r="M139" s="6"/>
      <c r="N139" s="6"/>
      <c r="O139" s="4"/>
      <c r="P139" s="4">
        <f t="shared" si="20"/>
        <v>0</v>
      </c>
      <c r="Q139" s="4">
        <f t="shared" si="22"/>
        <v>0</v>
      </c>
      <c r="R139" s="5"/>
    </row>
    <row r="140" spans="1:18" ht="12" customHeight="1">
      <c r="A140" s="69" t="s">
        <v>168</v>
      </c>
      <c r="B140" s="92"/>
      <c r="C140" s="92"/>
      <c r="D140" s="6"/>
      <c r="E140" s="6"/>
      <c r="F140" s="6"/>
      <c r="G140" s="6"/>
      <c r="H140" s="6"/>
      <c r="I140" s="6"/>
      <c r="J140" s="4"/>
      <c r="K140" s="6"/>
      <c r="L140" s="6"/>
      <c r="M140" s="6"/>
      <c r="N140" s="6"/>
      <c r="O140" s="4"/>
      <c r="P140" s="4">
        <f t="shared" si="20"/>
        <v>0</v>
      </c>
      <c r="Q140" s="4">
        <f t="shared" si="22"/>
        <v>0</v>
      </c>
      <c r="R140" s="5"/>
    </row>
    <row r="141" spans="1:18" ht="12" customHeight="1">
      <c r="A141" s="69" t="s">
        <v>169</v>
      </c>
      <c r="B141" s="92"/>
      <c r="C141" s="92"/>
      <c r="D141" s="6"/>
      <c r="E141" s="6"/>
      <c r="F141" s="6"/>
      <c r="G141" s="6"/>
      <c r="H141" s="6"/>
      <c r="I141" s="6"/>
      <c r="J141" s="4"/>
      <c r="K141" s="6"/>
      <c r="L141" s="6"/>
      <c r="M141" s="6"/>
      <c r="N141" s="6"/>
      <c r="O141" s="4"/>
      <c r="P141" s="4">
        <f t="shared" si="20"/>
        <v>0</v>
      </c>
      <c r="Q141" s="4">
        <f t="shared" si="22"/>
        <v>0</v>
      </c>
      <c r="R141" s="5"/>
    </row>
    <row r="142" spans="1:18" ht="12">
      <c r="A142" s="90" t="s">
        <v>113</v>
      </c>
      <c r="B142" s="90"/>
      <c r="C142" s="90"/>
      <c r="D142" s="45">
        <f>D27</f>
        <v>302630.67195000005</v>
      </c>
      <c r="E142" s="45">
        <f t="shared" ref="E142:O142" si="23">E27</f>
        <v>252297.14760000003</v>
      </c>
      <c r="F142" s="45">
        <f t="shared" si="23"/>
        <v>311244.00310000003</v>
      </c>
      <c r="G142" s="45">
        <f t="shared" si="23"/>
        <v>270394.25520000001</v>
      </c>
      <c r="H142" s="45">
        <f t="shared" si="23"/>
        <v>305090.90270000004</v>
      </c>
      <c r="I142" s="45">
        <f t="shared" si="23"/>
        <v>321672.91495000001</v>
      </c>
      <c r="J142" s="45">
        <f t="shared" si="23"/>
        <v>296836.25544999994</v>
      </c>
      <c r="K142" s="45">
        <f t="shared" si="23"/>
        <v>265450.16295000003</v>
      </c>
      <c r="L142" s="45">
        <f t="shared" si="23"/>
        <v>278230.6667</v>
      </c>
      <c r="M142" s="45">
        <f t="shared" si="23"/>
        <v>296051.20939999999</v>
      </c>
      <c r="N142" s="45">
        <f t="shared" si="23"/>
        <v>264665.52104999998</v>
      </c>
      <c r="O142" s="45">
        <f t="shared" si="23"/>
        <v>278154.66680000001</v>
      </c>
      <c r="P142" s="47">
        <f>P123+P110+P102+P61+P45+P28</f>
        <v>3409357.7379999999</v>
      </c>
      <c r="Q142" s="47">
        <f>P142/12</f>
        <v>284113.14483333332</v>
      </c>
      <c r="R142" s="32"/>
    </row>
    <row r="143" spans="1:18" ht="1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</row>
    <row r="144" spans="1:18" ht="12"/>
    <row r="145" spans="1:3" ht="12"/>
    <row r="146" spans="1:3" ht="12"/>
    <row r="147" spans="1:3" ht="12">
      <c r="A147" s="1" t="s">
        <v>115</v>
      </c>
      <c r="C147" s="21">
        <f>Q142</f>
        <v>284113.14483333332</v>
      </c>
    </row>
    <row r="148" spans="1:3" ht="12"/>
    <row r="149" spans="1:3" ht="12">
      <c r="A149" s="1" t="s">
        <v>114</v>
      </c>
      <c r="C149" s="20">
        <v>270297.34000000003</v>
      </c>
    </row>
    <row r="150" spans="1:3" ht="12"/>
    <row r="151" spans="1:3" ht="12">
      <c r="A151" s="1" t="s">
        <v>116</v>
      </c>
      <c r="C151" s="22">
        <f>C147-C149</f>
        <v>13815.804833333299</v>
      </c>
    </row>
    <row r="152" spans="1:3" ht="12">
      <c r="A152" s="1" t="s">
        <v>117</v>
      </c>
      <c r="C152" s="2">
        <f>C151/C149</f>
        <v>5.1113358471575408E-2</v>
      </c>
    </row>
    <row r="153" spans="1:3" ht="12"/>
    <row r="154" spans="1:3" ht="12"/>
    <row r="155" spans="1:3" ht="12"/>
    <row r="156" spans="1:3" ht="12"/>
    <row r="157" spans="1:3" ht="12"/>
    <row r="158" spans="1:3" ht="12"/>
    <row r="159" spans="1:3" ht="12"/>
    <row r="160" spans="1:3" ht="12"/>
    <row r="161" ht="12"/>
    <row r="162" ht="12"/>
    <row r="163" ht="12"/>
    <row r="164" ht="12"/>
    <row r="165" ht="12"/>
    <row r="166" ht="12"/>
    <row r="167" ht="12"/>
    <row r="168" ht="12"/>
    <row r="169" ht="12"/>
    <row r="170" ht="12"/>
    <row r="171" ht="12"/>
    <row r="172" ht="12"/>
    <row r="173" ht="12"/>
    <row r="174" ht="12"/>
    <row r="175" ht="12"/>
    <row r="176" ht="12"/>
    <row r="177" ht="12"/>
    <row r="178" ht="12"/>
    <row r="179" ht="12"/>
    <row r="180" ht="12"/>
    <row r="181" ht="12"/>
    <row r="182" ht="12"/>
    <row r="183" ht="12"/>
  </sheetData>
  <mergeCells count="142">
    <mergeCell ref="A141:C141"/>
    <mergeCell ref="A142:C142"/>
    <mergeCell ref="U61:W61"/>
    <mergeCell ref="A135:C135"/>
    <mergeCell ref="A136:C136"/>
    <mergeCell ref="A137:C137"/>
    <mergeCell ref="A138:C138"/>
    <mergeCell ref="A139:C139"/>
    <mergeCell ref="A140:C140"/>
    <mergeCell ref="A129:C129"/>
    <mergeCell ref="A130:C130"/>
    <mergeCell ref="A131:C131"/>
    <mergeCell ref="A132:C132"/>
    <mergeCell ref="A133:C133"/>
    <mergeCell ref="A134:C134"/>
    <mergeCell ref="A123:C123"/>
    <mergeCell ref="A124:C124"/>
    <mergeCell ref="A125:C125"/>
    <mergeCell ref="A126:C126"/>
    <mergeCell ref="A127:C127"/>
    <mergeCell ref="A128:C128"/>
    <mergeCell ref="A117:C117"/>
    <mergeCell ref="A118:C118"/>
    <mergeCell ref="A119:C119"/>
    <mergeCell ref="A120:C120"/>
    <mergeCell ref="A121:C121"/>
    <mergeCell ref="A122:C122"/>
    <mergeCell ref="A111:C111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A101:C101"/>
    <mergeCell ref="A102:C102"/>
    <mergeCell ref="A103:C103"/>
    <mergeCell ref="A104:C104"/>
    <mergeCell ref="A105:C105"/>
    <mergeCell ref="A106:C106"/>
    <mergeCell ref="A95:C95"/>
    <mergeCell ref="A96:C96"/>
    <mergeCell ref="A97:C97"/>
    <mergeCell ref="A98:C98"/>
    <mergeCell ref="A99:C99"/>
    <mergeCell ref="A100:C100"/>
    <mergeCell ref="A89:C89"/>
    <mergeCell ref="A90:C90"/>
    <mergeCell ref="A91:C91"/>
    <mergeCell ref="A92:C92"/>
    <mergeCell ref="A93:C93"/>
    <mergeCell ref="A94:C94"/>
    <mergeCell ref="A83:C83"/>
    <mergeCell ref="A84:C84"/>
    <mergeCell ref="A85:C85"/>
    <mergeCell ref="A86:C86"/>
    <mergeCell ref="A87:C87"/>
    <mergeCell ref="A88:C88"/>
    <mergeCell ref="A71:C71"/>
    <mergeCell ref="A72:C72"/>
    <mergeCell ref="A79:C79"/>
    <mergeCell ref="A80:C80"/>
    <mergeCell ref="A81:C81"/>
    <mergeCell ref="A82:C82"/>
    <mergeCell ref="A73:C73"/>
    <mergeCell ref="A74:C74"/>
    <mergeCell ref="A75:C75"/>
    <mergeCell ref="A76:C76"/>
    <mergeCell ref="A77:C77"/>
    <mergeCell ref="A78:C78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  <mergeCell ref="A63:C63"/>
    <mergeCell ref="A64:C64"/>
    <mergeCell ref="A54:C54"/>
    <mergeCell ref="A55:C55"/>
    <mergeCell ref="A56:C56"/>
    <mergeCell ref="A57:C57"/>
    <mergeCell ref="A58:C58"/>
    <mergeCell ref="A48:C48"/>
    <mergeCell ref="A49:C49"/>
    <mergeCell ref="A50:C50"/>
    <mergeCell ref="A51:C51"/>
    <mergeCell ref="A52:C52"/>
    <mergeCell ref="A53:C53"/>
    <mergeCell ref="A42:C42"/>
    <mergeCell ref="A43:C43"/>
    <mergeCell ref="A44:C44"/>
    <mergeCell ref="A45:C45"/>
    <mergeCell ref="A46:C46"/>
    <mergeCell ref="A47:C47"/>
    <mergeCell ref="A36:C3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25:C25"/>
    <mergeCell ref="A27:C27"/>
    <mergeCell ref="A28:C28"/>
    <mergeCell ref="A29:C29"/>
    <mergeCell ref="A30:C30"/>
    <mergeCell ref="A31:C31"/>
    <mergeCell ref="A19:C19"/>
    <mergeCell ref="A20:C20"/>
    <mergeCell ref="A21:C21"/>
    <mergeCell ref="A22:C22"/>
    <mergeCell ref="A23:C23"/>
    <mergeCell ref="A24:C24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" right="0" top="0" bottom="0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C0277204FCE64B8FE94046875B4F7E" ma:contentTypeVersion="11" ma:contentTypeDescription="Crie um novo documento." ma:contentTypeScope="" ma:versionID="aff820ad9b4048764108ee55900a6fbe">
  <xsd:schema xmlns:xsd="http://www.w3.org/2001/XMLSchema" xmlns:xs="http://www.w3.org/2001/XMLSchema" xmlns:p="http://schemas.microsoft.com/office/2006/metadata/properties" xmlns:ns2="29a6f6d6-12cc-4ee5-bc50-ed190aecdc6e" xmlns:ns3="348eb2b9-9a2d-4e0e-a7c0-e81e5a6c9f29" targetNamespace="http://schemas.microsoft.com/office/2006/metadata/properties" ma:root="true" ma:fieldsID="c8e274c614aa0b6e3feb7b722b992253" ns2:_="" ns3:_="">
    <xsd:import namespace="29a6f6d6-12cc-4ee5-bc50-ed190aecdc6e"/>
    <xsd:import namespace="348eb2b9-9a2d-4e0e-a7c0-e81e5a6c9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6f6d6-12cc-4ee5-bc50-ed190aec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056a02-3bc2-416b-b18d-533388422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b2b9-9a2d-4e0e-a7c0-e81e5a6c9f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2d0973-5bc9-4e7e-8f89-067627756dcc}" ma:internalName="TaxCatchAll" ma:showField="CatchAllData" ma:web="348eb2b9-9a2d-4e0e-a7c0-e81e5a6c9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a6f6d6-12cc-4ee5-bc50-ed190aecdc6e">
      <Terms xmlns="http://schemas.microsoft.com/office/infopath/2007/PartnerControls"/>
    </lcf76f155ced4ddcb4097134ff3c332f>
    <TaxCatchAll xmlns="348eb2b9-9a2d-4e0e-a7c0-e81e5a6c9f29" xsi:nil="true"/>
  </documentManagement>
</p:properties>
</file>

<file path=customXml/itemProps1.xml><?xml version="1.0" encoding="utf-8"?>
<ds:datastoreItem xmlns:ds="http://schemas.openxmlformats.org/officeDocument/2006/customXml" ds:itemID="{541A0B4A-F190-4BD3-B675-9D0B56ED8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801144-4741-4995-B97F-F93D5BE0F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a6f6d6-12cc-4ee5-bc50-ed190aecdc6e"/>
    <ds:schemaRef ds:uri="348eb2b9-9a2d-4e0e-a7c0-e81e5a6c9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E76326-AFB3-4BAB-B4B8-730EA1F5C7CE}">
  <ds:schemaRefs>
    <ds:schemaRef ds:uri="http://schemas.microsoft.com/office/2006/metadata/properties"/>
    <ds:schemaRef ds:uri="http://schemas.microsoft.com/office/infopath/2007/PartnerControls"/>
    <ds:schemaRef ds:uri="29a6f6d6-12cc-4ee5-bc50-ed190aecdc6e"/>
    <ds:schemaRef ds:uri="348eb2b9-9a2d-4e0e-a7c0-e81e5a6c9f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PREVISTO 2026 REVISADO</vt:lpstr>
      <vt:lpstr>REALIZADO 2025</vt:lpstr>
      <vt:lpstr>PREVISTO 2026 REVISADO (2)</vt:lpstr>
      <vt:lpstr>PREVISTO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2025-12-08T12:23:37Z</dcterms:created>
  <dcterms:modified xsi:type="dcterms:W3CDTF">2026-04-09T17:58:01Z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0x01010067C0277204FCE64B8FE94046875B4F7E</vt:lpwstr>
  </property>
  <property fmtid="{D5CDD505-2E9C-101B-9397-08002B2CF9AE}" pid="3" name="MediaServiceImageTags">
    <vt:lpwstr/>
  </property>
</Properties>
</file>